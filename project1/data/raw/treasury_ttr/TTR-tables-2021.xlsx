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defaultThemeVersion="166925"/>
  <xr:revisionPtr revIDLastSave="0" documentId="13_ncr:1_{7683E6DC-06F0-4E79-9560-B30DF6B753B0}" xr6:coauthVersionLast="46" xr6:coauthVersionMax="46" xr10:uidLastSave="{00000000-0000-0000-0000-000000000000}"/>
  <bookViews>
    <workbookView xWindow="-120" yWindow="90" windowWidth="29040" windowHeight="15630" xr2:uid="{A90F87C8-1F46-4D70-8EDE-07066AE3AC47}"/>
  </bookViews>
  <sheets>
    <sheet name="table 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61" i="1" l="1"/>
  <c r="N61" i="1"/>
  <c r="AA60" i="1"/>
  <c r="N60" i="1"/>
</calcChain>
</file>

<file path=xl/sharedStrings.xml><?xml version="1.0" encoding="utf-8"?>
<sst xmlns="http://schemas.openxmlformats.org/spreadsheetml/2006/main" count="188" uniqueCount="66">
  <si>
    <t>TOTAL TAXABLE RESOURCES</t>
  </si>
  <si>
    <t>Table 1</t>
  </si>
  <si>
    <t>Table 2</t>
  </si>
  <si>
    <t>Table 3</t>
  </si>
  <si>
    <t>Billions of Dollars</t>
  </si>
  <si>
    <t>Dollars Per Capita</t>
  </si>
  <si>
    <t>Per Capita Index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</si>
  <si>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</si>
  <si>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</si>
  <si>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</si>
  <si>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</si>
  <si>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</si>
  <si>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</si>
  <si>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</si>
  <si>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</si>
  <si>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</si>
  <si>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</si>
  <si>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</si>
  <si>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</si>
  <si>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</si>
  <si>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</si>
  <si>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</si>
  <si>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</si>
  <si>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</si>
  <si>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</si>
  <si>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</si>
  <si>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</si>
  <si>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</si>
  <si>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</si>
  <si>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</si>
  <si>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</si>
  <si>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</si>
  <si>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</si>
  <si>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</si>
  <si>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</si>
  <si>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</si>
  <si>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</si>
  <si>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</si>
  <si>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</si>
  <si>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</si>
  <si>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</si>
  <si>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</si>
  <si>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</si>
  <si>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</si>
  <si>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</si>
  <si>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</si>
  <si>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</si>
  <si>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</si>
  <si>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</si>
  <si>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</si>
  <si>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</si>
  <si>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</si>
  <si>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</si>
  <si>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</si>
  <si>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</si>
  <si>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</si>
  <si>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</si>
  <si>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</si>
  <si>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</t>
  </si>
  <si>
    <t>United States</t>
  </si>
  <si>
    <t xml:space="preserve">Data Sources:  Bureau of Economic Analysis (BEA), Department of Commerce; Internal Revenue Service. </t>
  </si>
  <si>
    <t xml:space="preserve">For details about the methodology for estimating TTR, please visit http://www.treasury.gov/resource-center/economic-policy/taxable-resources/Pages/Total-Taxable-Resources.aspx. </t>
  </si>
  <si>
    <t>Note that "United States" now exclusively refers to the 50 states + DC.</t>
  </si>
  <si>
    <t xml:space="preserve">Please direct questions or comments regarding TTR to the Treasury Department at (202) 622-2200. </t>
  </si>
  <si>
    <t xml:space="preserve">Office of Economic Policy, U.S. Department of Treasury  </t>
  </si>
  <si>
    <t>September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</si>
</sst>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#,##0.0_);\(#,##0.0\)"/>
  </numFmts>
  <fonts count="13" x14ac:knownFonts="1">
    <font>
      <sz val="10"/>
      <name val="Arial"/>
    </font>
    <font>
      <b/>
      <u/>
      <sz val="14"/>
      <name val="Times New Roman"/>
      <family val="1"/>
    </font>
    <font>
      <b/>
      <u/>
      <sz val="14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0"/>
      <name val="Arial"/>
      <family val="2"/>
    </font>
    <font>
      <sz val="9.5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1" xfId="0" applyFont="1" applyBorder="1"/>
    <xf numFmtId="0" fontId="6" fillId="0" borderId="1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right"/>
    </xf>
    <xf numFmtId="0" fontId="6" fillId="0" borderId="2" xfId="0" applyFont="1" applyBorder="1"/>
    <xf numFmtId="164" fontId="6" fillId="0" borderId="3" xfId="0" applyNumberFormat="1" applyFont="1" applyBorder="1" applyAlignment="1">
      <alignment horizontal="right"/>
    </xf>
    <xf numFmtId="3" fontId="6" fillId="0" borderId="3" xfId="0" applyNumberFormat="1" applyFont="1" applyBorder="1" applyAlignment="1">
      <alignment horizontal="center"/>
    </xf>
    <xf numFmtId="165" fontId="6" fillId="0" borderId="3" xfId="0" applyNumberFormat="1" applyFont="1" applyBorder="1" applyAlignment="1">
      <alignment horizontal="right"/>
    </xf>
    <xf numFmtId="165" fontId="7" fillId="0" borderId="0" xfId="0" applyNumberFormat="1" applyFont="1" applyAlignment="1">
      <alignment horizontal="right"/>
    </xf>
    <xf numFmtId="0" fontId="6" fillId="0" borderId="3" xfId="0" applyFont="1" applyBorder="1"/>
    <xf numFmtId="164" fontId="6" fillId="0" borderId="3" xfId="0" applyNumberFormat="1" applyFont="1" applyBorder="1" applyAlignment="1">
      <alignment horizontal="left"/>
    </xf>
    <xf numFmtId="164" fontId="6" fillId="0" borderId="0" xfId="0" applyNumberFormat="1" applyFont="1" applyAlignment="1">
      <alignment horizontal="center"/>
    </xf>
    <xf numFmtId="0" fontId="6" fillId="0" borderId="4" xfId="0" applyFont="1" applyBorder="1"/>
    <xf numFmtId="164" fontId="6" fillId="0" borderId="4" xfId="0" applyNumberFormat="1" applyFont="1" applyBorder="1" applyAlignment="1">
      <alignment horizontal="right"/>
    </xf>
    <xf numFmtId="3" fontId="6" fillId="0" borderId="4" xfId="0" applyNumberFormat="1" applyFont="1" applyBorder="1" applyAlignment="1">
      <alignment horizontal="center"/>
    </xf>
    <xf numFmtId="166" fontId="6" fillId="0" borderId="0" xfId="0" applyNumberFormat="1" applyFont="1"/>
    <xf numFmtId="165" fontId="6" fillId="0" borderId="4" xfId="0" applyNumberFormat="1" applyFont="1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7" fontId="12" fillId="0" borderId="0" xfId="0" quotePrefix="1" applyNumberFormat="1" applyFont="1"/>
    <xf numFmtId="165" fontId="0" fillId="0" borderId="0" xfId="0" applyNumberFormat="1"/>
    <xf numFmtId="0" fontId="3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E03C-05EE-4481-9984-EF0F69A98CFD}">
  <dimension ref="A1:AL68"/>
  <sheetViews>
    <sheetView tabSelected="1" zoomScale="90" zoomScaleNormal="90" workbookViewId="0"/>
  </sheetViews>
  <sheetFormatPr defaultColWidth="9.140625" defaultRowHeight="12.75" x14ac:dyDescent="0.2"/>
  <cols>
    <col min="1" max="1" width="24.7109375" customWidth="1"/>
    <col min="2" max="13" width="10.7109375" customWidth="1"/>
    <col min="14" max="14" width="24.7109375" customWidth="1"/>
    <col min="15" max="25" width="10.7109375" customWidth="1"/>
    <col min="27" max="27" width="24.7109375" customWidth="1"/>
    <col min="28" max="38" width="10.7109375" customWidth="1"/>
  </cols>
  <sheetData>
    <row r="1" spans="1:38" ht="18.75" x14ac:dyDescent="0.3">
      <c r="B1" s="38"/>
      <c r="C1" s="38"/>
      <c r="D1" s="38"/>
      <c r="F1" s="37" t="s">
        <v>0</v>
      </c>
      <c r="G1" s="38"/>
      <c r="H1" s="38"/>
      <c r="I1" s="38"/>
      <c r="J1" s="38"/>
      <c r="K1" s="38"/>
      <c r="L1" s="38"/>
      <c r="M1" s="1"/>
      <c r="O1" s="38"/>
      <c r="P1" s="38"/>
      <c r="Q1" s="38"/>
      <c r="S1" s="37" t="s">
        <v>0</v>
      </c>
      <c r="T1" s="38"/>
      <c r="U1" s="38"/>
      <c r="V1" s="38"/>
      <c r="W1" s="38"/>
      <c r="X1" s="38"/>
      <c r="Y1" s="38"/>
      <c r="Z1" s="2"/>
      <c r="AB1" s="38"/>
      <c r="AC1" s="38"/>
      <c r="AD1" s="38"/>
      <c r="AF1" s="37" t="s">
        <v>0</v>
      </c>
      <c r="AG1" s="38"/>
      <c r="AH1" s="38"/>
      <c r="AI1" s="38"/>
      <c r="AJ1" s="38"/>
      <c r="AK1" s="38"/>
      <c r="AL1" s="38"/>
    </row>
    <row r="2" spans="1:38" ht="15.75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 t="s">
        <v>3</v>
      </c>
      <c r="AB2" s="3"/>
    </row>
    <row r="3" spans="1:38" ht="15" x14ac:dyDescent="0.2">
      <c r="A3" s="4" t="s">
        <v>4</v>
      </c>
      <c r="M3" s="2"/>
      <c r="N3" s="4" t="s">
        <v>5</v>
      </c>
      <c r="Z3" s="2"/>
      <c r="AA3" s="4" t="s">
        <v>6</v>
      </c>
    </row>
    <row r="4" spans="1:38" ht="16.5" thickBot="1" x14ac:dyDescent="0.3">
      <c r="A4" s="5"/>
      <c r="B4" s="6">
        <v>2009</v>
      </c>
      <c r="C4" s="6">
        <v>2010</v>
      </c>
      <c r="D4" s="6">
        <v>2011</v>
      </c>
      <c r="E4" s="6">
        <v>2012</v>
      </c>
      <c r="F4" s="6">
        <v>2013</v>
      </c>
      <c r="G4" s="6">
        <v>2014</v>
      </c>
      <c r="H4" s="6">
        <v>2015</v>
      </c>
      <c r="I4" s="6">
        <v>2016</v>
      </c>
      <c r="J4" s="6">
        <v>2017</v>
      </c>
      <c r="K4" s="6">
        <v>2018</v>
      </c>
      <c r="L4" s="6">
        <v>2019</v>
      </c>
      <c r="M4" s="7"/>
      <c r="N4" s="8"/>
      <c r="O4" s="6">
        <v>2009</v>
      </c>
      <c r="P4" s="6">
        <v>2010</v>
      </c>
      <c r="Q4" s="6">
        <v>2011</v>
      </c>
      <c r="R4" s="6">
        <v>2012</v>
      </c>
      <c r="S4" s="6">
        <v>2013</v>
      </c>
      <c r="T4" s="6">
        <v>2014</v>
      </c>
      <c r="U4" s="6">
        <v>2015</v>
      </c>
      <c r="V4" s="6">
        <v>2016</v>
      </c>
      <c r="W4" s="6">
        <v>2017</v>
      </c>
      <c r="X4" s="6">
        <v>2018</v>
      </c>
      <c r="Y4" s="6">
        <v>2019</v>
      </c>
      <c r="Z4" s="9"/>
      <c r="AA4" s="6"/>
      <c r="AB4" s="6">
        <v>2009</v>
      </c>
      <c r="AC4" s="6">
        <v>2010</v>
      </c>
      <c r="AD4" s="6">
        <v>2011</v>
      </c>
      <c r="AE4" s="6">
        <v>2012</v>
      </c>
      <c r="AF4" s="6">
        <v>2013</v>
      </c>
      <c r="AG4" s="6">
        <v>2014</v>
      </c>
      <c r="AH4" s="6">
        <v>2015</v>
      </c>
      <c r="AI4" s="6">
        <v>2016</v>
      </c>
      <c r="AJ4" s="6">
        <v>2017</v>
      </c>
      <c r="AK4" s="6">
        <v>2018</v>
      </c>
      <c r="AL4" s="6">
        <v>2019</v>
      </c>
    </row>
    <row r="5" spans="1:38" ht="16.5" thickTop="1" x14ac:dyDescent="0.25">
      <c r="A5" s="10" t="s">
        <v>7</v>
      </c>
      <c r="B5" s="11">
        <v>184.3</v>
      </c>
      <c r="C5" s="11">
        <v>191.3</v>
      </c>
      <c r="D5" s="11">
        <v>199.7</v>
      </c>
      <c r="E5" s="11">
        <v>208.5</v>
      </c>
      <c r="F5" s="11">
        <v>211.1</v>
      </c>
      <c r="G5" s="11">
        <v>216.2</v>
      </c>
      <c r="H5" s="11">
        <v>223.5</v>
      </c>
      <c r="I5" s="11">
        <v>227.7</v>
      </c>
      <c r="J5" s="11">
        <v>236.8</v>
      </c>
      <c r="K5" s="11">
        <v>247.2</v>
      </c>
      <c r="L5" s="11">
        <v>256.7</v>
      </c>
      <c r="M5" s="11"/>
      <c r="N5" s="10" t="s">
        <v>7</v>
      </c>
      <c r="O5" s="12">
        <v>38725</v>
      </c>
      <c r="P5" s="12">
        <v>39978</v>
      </c>
      <c r="Q5" s="12">
        <v>41617</v>
      </c>
      <c r="R5" s="12">
        <v>43294</v>
      </c>
      <c r="S5" s="12">
        <v>43684</v>
      </c>
      <c r="T5" s="12">
        <v>44634</v>
      </c>
      <c r="U5" s="12">
        <v>46046</v>
      </c>
      <c r="V5" s="12">
        <v>46779</v>
      </c>
      <c r="W5" s="12">
        <v>48540</v>
      </c>
      <c r="X5" s="12">
        <v>50533</v>
      </c>
      <c r="Y5" s="12">
        <v>52309</v>
      </c>
      <c r="Z5" s="13"/>
      <c r="AA5" s="10" t="s">
        <v>7</v>
      </c>
      <c r="AB5" s="13">
        <v>76.8</v>
      </c>
      <c r="AC5" s="13">
        <v>76.900000000000006</v>
      </c>
      <c r="AD5" s="13">
        <v>76.8</v>
      </c>
      <c r="AE5" s="13">
        <v>75.400000000000006</v>
      </c>
      <c r="AF5" s="13">
        <v>75.599999999999994</v>
      </c>
      <c r="AG5" s="13">
        <v>73.400000000000006</v>
      </c>
      <c r="AH5" s="13">
        <v>73</v>
      </c>
      <c r="AI5" s="13">
        <v>73</v>
      </c>
      <c r="AJ5" s="13">
        <v>72.099999999999994</v>
      </c>
      <c r="AK5" s="13">
        <v>71.5</v>
      </c>
      <c r="AL5" s="13">
        <v>71.599999999999994</v>
      </c>
    </row>
    <row r="6" spans="1:38" ht="15.75" x14ac:dyDescent="0.25">
      <c r="A6" s="10" t="s">
        <v>8</v>
      </c>
      <c r="B6" s="11">
        <v>50</v>
      </c>
      <c r="C6" s="11">
        <v>53.3</v>
      </c>
      <c r="D6" s="11">
        <v>57.1</v>
      </c>
      <c r="E6" s="11">
        <v>59</v>
      </c>
      <c r="F6" s="11">
        <v>57.2</v>
      </c>
      <c r="G6" s="11">
        <v>56.9</v>
      </c>
      <c r="H6" s="11">
        <v>52.2</v>
      </c>
      <c r="I6" s="11">
        <v>51.2</v>
      </c>
      <c r="J6" s="11">
        <v>53.6</v>
      </c>
      <c r="K6" s="11">
        <v>56.2</v>
      </c>
      <c r="L6" s="11">
        <v>56.5</v>
      </c>
      <c r="M6" s="11"/>
      <c r="N6" s="10" t="s">
        <v>8</v>
      </c>
      <c r="O6" s="12">
        <v>71541</v>
      </c>
      <c r="P6" s="12">
        <v>74715</v>
      </c>
      <c r="Q6" s="12">
        <v>79067</v>
      </c>
      <c r="R6" s="12">
        <v>80713</v>
      </c>
      <c r="S6" s="12">
        <v>77502</v>
      </c>
      <c r="T6" s="12">
        <v>77201</v>
      </c>
      <c r="U6" s="12">
        <v>70710</v>
      </c>
      <c r="V6" s="12">
        <v>68934</v>
      </c>
      <c r="W6" s="12">
        <v>72329</v>
      </c>
      <c r="X6" s="12">
        <v>76280</v>
      </c>
      <c r="Y6" s="12">
        <v>76992</v>
      </c>
      <c r="Z6" s="13"/>
      <c r="AA6" s="10" t="s">
        <v>8</v>
      </c>
      <c r="AB6" s="13">
        <v>141.9</v>
      </c>
      <c r="AC6" s="13">
        <v>143.69999999999999</v>
      </c>
      <c r="AD6" s="13">
        <v>146</v>
      </c>
      <c r="AE6" s="13">
        <v>140.6</v>
      </c>
      <c r="AF6" s="13">
        <v>134.19999999999999</v>
      </c>
      <c r="AG6" s="13">
        <v>126.9</v>
      </c>
      <c r="AH6" s="13">
        <v>112</v>
      </c>
      <c r="AI6" s="13">
        <v>107.5</v>
      </c>
      <c r="AJ6" s="13">
        <v>107.5</v>
      </c>
      <c r="AK6" s="13">
        <v>107.9</v>
      </c>
      <c r="AL6" s="13">
        <v>105.4</v>
      </c>
    </row>
    <row r="7" spans="1:38" ht="15.75" x14ac:dyDescent="0.25">
      <c r="A7" s="10" t="s">
        <v>9</v>
      </c>
      <c r="B7" s="11">
        <v>260.39999999999998</v>
      </c>
      <c r="C7" s="11">
        <v>265.3</v>
      </c>
      <c r="D7" s="11">
        <v>279.10000000000002</v>
      </c>
      <c r="E7" s="11">
        <v>295.7</v>
      </c>
      <c r="F7" s="11">
        <v>298.39999999999998</v>
      </c>
      <c r="G7" s="11">
        <v>313.8</v>
      </c>
      <c r="H7" s="11">
        <v>331.3</v>
      </c>
      <c r="I7" s="11">
        <v>346.2</v>
      </c>
      <c r="J7" s="11">
        <v>370.1</v>
      </c>
      <c r="K7" s="11">
        <v>393.4</v>
      </c>
      <c r="L7" s="11">
        <v>415.1</v>
      </c>
      <c r="M7" s="11"/>
      <c r="N7" s="10" t="s">
        <v>9</v>
      </c>
      <c r="O7" s="12">
        <v>41055</v>
      </c>
      <c r="P7" s="12">
        <v>41409</v>
      </c>
      <c r="Q7" s="12">
        <v>43119</v>
      </c>
      <c r="R7" s="12">
        <v>45098</v>
      </c>
      <c r="S7" s="12">
        <v>44973</v>
      </c>
      <c r="T7" s="12">
        <v>46607</v>
      </c>
      <c r="U7" s="12">
        <v>48491</v>
      </c>
      <c r="V7" s="12">
        <v>49846</v>
      </c>
      <c r="W7" s="12">
        <v>52507</v>
      </c>
      <c r="X7" s="12">
        <v>54918</v>
      </c>
      <c r="Y7" s="12">
        <v>56924</v>
      </c>
      <c r="Z7" s="13"/>
      <c r="AA7" s="10" t="s">
        <v>9</v>
      </c>
      <c r="AB7" s="13">
        <v>81.400000000000006</v>
      </c>
      <c r="AC7" s="13">
        <v>79.599999999999994</v>
      </c>
      <c r="AD7" s="13">
        <v>79.599999999999994</v>
      </c>
      <c r="AE7" s="13">
        <v>78.599999999999994</v>
      </c>
      <c r="AF7" s="13">
        <v>77.900000000000006</v>
      </c>
      <c r="AG7" s="13">
        <v>76.599999999999994</v>
      </c>
      <c r="AH7" s="13">
        <v>76.8</v>
      </c>
      <c r="AI7" s="13">
        <v>77.8</v>
      </c>
      <c r="AJ7" s="13">
        <v>78</v>
      </c>
      <c r="AK7" s="13">
        <v>77.7</v>
      </c>
      <c r="AL7" s="13">
        <v>78</v>
      </c>
    </row>
    <row r="8" spans="1:38" ht="15.75" x14ac:dyDescent="0.25">
      <c r="A8" s="10" t="s">
        <v>10</v>
      </c>
      <c r="B8" s="11">
        <v>107.1</v>
      </c>
      <c r="C8" s="11">
        <v>111</v>
      </c>
      <c r="D8" s="11">
        <v>117.9</v>
      </c>
      <c r="E8" s="11">
        <v>125.7</v>
      </c>
      <c r="F8" s="11">
        <v>126.9</v>
      </c>
      <c r="G8" s="11">
        <v>133.5</v>
      </c>
      <c r="H8" s="11">
        <v>137.30000000000001</v>
      </c>
      <c r="I8" s="11">
        <v>140.30000000000001</v>
      </c>
      <c r="J8" s="11">
        <v>147.69999999999999</v>
      </c>
      <c r="K8" s="11">
        <v>153.30000000000001</v>
      </c>
      <c r="L8" s="11">
        <v>155.69999999999999</v>
      </c>
      <c r="M8" s="11"/>
      <c r="N8" s="10" t="s">
        <v>10</v>
      </c>
      <c r="O8" s="12">
        <v>36957</v>
      </c>
      <c r="P8" s="12">
        <v>37996</v>
      </c>
      <c r="Q8" s="12">
        <v>40103</v>
      </c>
      <c r="R8" s="12">
        <v>42571</v>
      </c>
      <c r="S8" s="12">
        <v>42856</v>
      </c>
      <c r="T8" s="12">
        <v>44981</v>
      </c>
      <c r="U8" s="12">
        <v>46062</v>
      </c>
      <c r="V8" s="12">
        <v>46898</v>
      </c>
      <c r="W8" s="12">
        <v>49175</v>
      </c>
      <c r="X8" s="12">
        <v>50889</v>
      </c>
      <c r="Y8" s="12">
        <v>51530</v>
      </c>
      <c r="Z8" s="13"/>
      <c r="AA8" s="10" t="s">
        <v>10</v>
      </c>
      <c r="AB8" s="13">
        <v>73.3</v>
      </c>
      <c r="AC8" s="13">
        <v>73.099999999999994</v>
      </c>
      <c r="AD8" s="13">
        <v>74</v>
      </c>
      <c r="AE8" s="13">
        <v>74.2</v>
      </c>
      <c r="AF8" s="13">
        <v>74.2</v>
      </c>
      <c r="AG8" s="13">
        <v>73.900000000000006</v>
      </c>
      <c r="AH8" s="13">
        <v>73</v>
      </c>
      <c r="AI8" s="13">
        <v>73.2</v>
      </c>
      <c r="AJ8" s="13">
        <v>73.099999999999994</v>
      </c>
      <c r="AK8" s="13">
        <v>72</v>
      </c>
      <c r="AL8" s="13">
        <v>70.599999999999994</v>
      </c>
    </row>
    <row r="9" spans="1:38" ht="15.75" x14ac:dyDescent="0.25">
      <c r="A9" s="10" t="s">
        <v>11</v>
      </c>
      <c r="B9" s="11">
        <v>2009.4</v>
      </c>
      <c r="C9" s="11">
        <v>2076.9</v>
      </c>
      <c r="D9" s="11">
        <v>2181.9</v>
      </c>
      <c r="E9" s="11">
        <v>2349.1</v>
      </c>
      <c r="F9" s="11">
        <v>2418.1999999999998</v>
      </c>
      <c r="G9" s="11">
        <v>2613.9</v>
      </c>
      <c r="H9" s="11">
        <v>2798.1</v>
      </c>
      <c r="I9" s="11">
        <v>2912.7</v>
      </c>
      <c r="J9" s="11">
        <v>3113.8</v>
      </c>
      <c r="K9" s="11">
        <v>3272.7</v>
      </c>
      <c r="L9" s="11">
        <v>3413.1</v>
      </c>
      <c r="M9" s="11"/>
      <c r="N9" s="10" t="s">
        <v>11</v>
      </c>
      <c r="O9" s="12">
        <v>54364</v>
      </c>
      <c r="P9" s="12">
        <v>55653</v>
      </c>
      <c r="Q9" s="12">
        <v>57974</v>
      </c>
      <c r="R9" s="12">
        <v>61910</v>
      </c>
      <c r="S9" s="12">
        <v>63215</v>
      </c>
      <c r="T9" s="12">
        <v>67740</v>
      </c>
      <c r="U9" s="12">
        <v>71924</v>
      </c>
      <c r="V9" s="12">
        <v>74400</v>
      </c>
      <c r="W9" s="12">
        <v>79156</v>
      </c>
      <c r="X9" s="12">
        <v>82985</v>
      </c>
      <c r="Y9" s="12">
        <v>86545</v>
      </c>
      <c r="Z9" s="13"/>
      <c r="AA9" s="10" t="s">
        <v>11</v>
      </c>
      <c r="AB9" s="13">
        <v>107.8</v>
      </c>
      <c r="AC9" s="13">
        <v>107</v>
      </c>
      <c r="AD9" s="13">
        <v>107</v>
      </c>
      <c r="AE9" s="13">
        <v>107.9</v>
      </c>
      <c r="AF9" s="13">
        <v>109.4</v>
      </c>
      <c r="AG9" s="13">
        <v>111.3</v>
      </c>
      <c r="AH9" s="13">
        <v>114</v>
      </c>
      <c r="AI9" s="13">
        <v>116.1</v>
      </c>
      <c r="AJ9" s="13">
        <v>117.6</v>
      </c>
      <c r="AK9" s="13">
        <v>117.4</v>
      </c>
      <c r="AL9" s="13">
        <v>118.5</v>
      </c>
    </row>
    <row r="10" spans="1:38" ht="15.75" x14ac:dyDescent="0.25">
      <c r="A10" s="10" t="s">
        <v>12</v>
      </c>
      <c r="B10" s="11">
        <v>264.39999999999998</v>
      </c>
      <c r="C10" s="11">
        <v>272.5</v>
      </c>
      <c r="D10" s="11">
        <v>287.5</v>
      </c>
      <c r="E10" s="11">
        <v>305.7</v>
      </c>
      <c r="F10" s="11">
        <v>312.89999999999998</v>
      </c>
      <c r="G10" s="11">
        <v>336.8</v>
      </c>
      <c r="H10" s="11">
        <v>352.9</v>
      </c>
      <c r="I10" s="11">
        <v>363.7</v>
      </c>
      <c r="J10" s="11">
        <v>389.2</v>
      </c>
      <c r="K10" s="11">
        <v>418.6</v>
      </c>
      <c r="L10" s="11">
        <v>440.4</v>
      </c>
      <c r="M10" s="11"/>
      <c r="N10" s="10" t="s">
        <v>12</v>
      </c>
      <c r="O10" s="12">
        <v>53172</v>
      </c>
      <c r="P10" s="12">
        <v>53987</v>
      </c>
      <c r="Q10" s="12">
        <v>56133</v>
      </c>
      <c r="R10" s="12">
        <v>58864</v>
      </c>
      <c r="S10" s="12">
        <v>59360</v>
      </c>
      <c r="T10" s="12">
        <v>62919</v>
      </c>
      <c r="U10" s="12">
        <v>64703</v>
      </c>
      <c r="V10" s="12">
        <v>65609</v>
      </c>
      <c r="W10" s="12">
        <v>69284</v>
      </c>
      <c r="X10" s="12">
        <v>73484</v>
      </c>
      <c r="Y10" s="12">
        <v>76477</v>
      </c>
      <c r="Z10" s="13"/>
      <c r="AA10" s="10" t="s">
        <v>12</v>
      </c>
      <c r="AB10" s="13">
        <v>105.5</v>
      </c>
      <c r="AC10" s="13">
        <v>103.8</v>
      </c>
      <c r="AD10" s="13">
        <v>103.6</v>
      </c>
      <c r="AE10" s="13">
        <v>102.6</v>
      </c>
      <c r="AF10" s="13">
        <v>102.8</v>
      </c>
      <c r="AG10" s="13">
        <v>103.4</v>
      </c>
      <c r="AH10" s="13">
        <v>102.5</v>
      </c>
      <c r="AI10" s="13">
        <v>102.4</v>
      </c>
      <c r="AJ10" s="13">
        <v>103</v>
      </c>
      <c r="AK10" s="13">
        <v>103.9</v>
      </c>
      <c r="AL10" s="13">
        <v>104.7</v>
      </c>
    </row>
    <row r="11" spans="1:38" ht="15.75" x14ac:dyDescent="0.25">
      <c r="A11" s="10" t="s">
        <v>13</v>
      </c>
      <c r="B11" s="11">
        <v>272.3</v>
      </c>
      <c r="C11" s="11">
        <v>280.2</v>
      </c>
      <c r="D11" s="11">
        <v>281.8</v>
      </c>
      <c r="E11" s="11">
        <v>299.39999999999998</v>
      </c>
      <c r="F11" s="11">
        <v>294</v>
      </c>
      <c r="G11" s="11">
        <v>306.7</v>
      </c>
      <c r="H11" s="11">
        <v>321.10000000000002</v>
      </c>
      <c r="I11" s="11">
        <v>322.7</v>
      </c>
      <c r="J11" s="11">
        <v>336.7</v>
      </c>
      <c r="K11" s="11">
        <v>349.8</v>
      </c>
      <c r="L11" s="11">
        <v>360.2</v>
      </c>
      <c r="M11" s="11"/>
      <c r="N11" s="10" t="s">
        <v>13</v>
      </c>
      <c r="O11" s="12">
        <v>76463</v>
      </c>
      <c r="P11" s="12">
        <v>78293</v>
      </c>
      <c r="Q11" s="12">
        <v>78530</v>
      </c>
      <c r="R11" s="12">
        <v>83290</v>
      </c>
      <c r="S11" s="12">
        <v>81752</v>
      </c>
      <c r="T11" s="12">
        <v>85306</v>
      </c>
      <c r="U11" s="12">
        <v>89479</v>
      </c>
      <c r="V11" s="12">
        <v>90144</v>
      </c>
      <c r="W11" s="12">
        <v>94160</v>
      </c>
      <c r="X11" s="12">
        <v>97854</v>
      </c>
      <c r="Y11" s="12">
        <v>101004</v>
      </c>
      <c r="Z11" s="13"/>
      <c r="AA11" s="10" t="s">
        <v>13</v>
      </c>
      <c r="AB11" s="13">
        <v>151.69999999999999</v>
      </c>
      <c r="AC11" s="13">
        <v>150.6</v>
      </c>
      <c r="AD11" s="13">
        <v>145</v>
      </c>
      <c r="AE11" s="13">
        <v>145.1</v>
      </c>
      <c r="AF11" s="13">
        <v>141.5</v>
      </c>
      <c r="AG11" s="13">
        <v>140.19999999999999</v>
      </c>
      <c r="AH11" s="13">
        <v>141.80000000000001</v>
      </c>
      <c r="AI11" s="13">
        <v>140.6</v>
      </c>
      <c r="AJ11" s="13">
        <v>139.9</v>
      </c>
      <c r="AK11" s="13">
        <v>138.4</v>
      </c>
      <c r="AL11" s="13">
        <v>138.30000000000001</v>
      </c>
    </row>
    <row r="12" spans="1:38" ht="15.75" x14ac:dyDescent="0.25">
      <c r="A12" s="10" t="s">
        <v>14</v>
      </c>
      <c r="B12" s="11">
        <v>63.2</v>
      </c>
      <c r="C12" s="11">
        <v>63.8</v>
      </c>
      <c r="D12" s="11">
        <v>67.599999999999994</v>
      </c>
      <c r="E12" s="11">
        <v>69.5</v>
      </c>
      <c r="F12" s="11">
        <v>68.3</v>
      </c>
      <c r="G12" s="11">
        <v>75.5</v>
      </c>
      <c r="H12" s="11">
        <v>80.099999999999994</v>
      </c>
      <c r="I12" s="11">
        <v>78.099999999999994</v>
      </c>
      <c r="J12" s="11">
        <v>79.7</v>
      </c>
      <c r="K12" s="11">
        <v>84.7</v>
      </c>
      <c r="L12" s="11">
        <v>88.1</v>
      </c>
      <c r="M12" s="11"/>
      <c r="N12" s="10" t="s">
        <v>14</v>
      </c>
      <c r="O12" s="12">
        <v>70898</v>
      </c>
      <c r="P12" s="12">
        <v>70918</v>
      </c>
      <c r="Q12" s="12">
        <v>74512</v>
      </c>
      <c r="R12" s="12">
        <v>75932</v>
      </c>
      <c r="S12" s="12">
        <v>73876</v>
      </c>
      <c r="T12" s="12">
        <v>80953</v>
      </c>
      <c r="U12" s="12">
        <v>85009</v>
      </c>
      <c r="V12" s="12">
        <v>82202</v>
      </c>
      <c r="W12" s="12">
        <v>83210</v>
      </c>
      <c r="X12" s="12">
        <v>87588</v>
      </c>
      <c r="Y12" s="12">
        <v>90231</v>
      </c>
      <c r="Z12" s="13"/>
      <c r="AA12" s="10" t="s">
        <v>14</v>
      </c>
      <c r="AB12" s="13">
        <v>140.6</v>
      </c>
      <c r="AC12" s="13">
        <v>136.4</v>
      </c>
      <c r="AD12" s="13">
        <v>137.6</v>
      </c>
      <c r="AE12" s="13">
        <v>132.30000000000001</v>
      </c>
      <c r="AF12" s="13">
        <v>127.9</v>
      </c>
      <c r="AG12" s="13">
        <v>133.1</v>
      </c>
      <c r="AH12" s="13">
        <v>134.69999999999999</v>
      </c>
      <c r="AI12" s="13">
        <v>128.19999999999999</v>
      </c>
      <c r="AJ12" s="13">
        <v>123.7</v>
      </c>
      <c r="AK12" s="13">
        <v>123.9</v>
      </c>
      <c r="AL12" s="13">
        <v>123.6</v>
      </c>
    </row>
    <row r="13" spans="1:38" ht="15.75" x14ac:dyDescent="0.25">
      <c r="A13" s="10" t="s">
        <v>15</v>
      </c>
      <c r="B13" s="11">
        <v>56.3</v>
      </c>
      <c r="C13" s="11">
        <v>59</v>
      </c>
      <c r="D13" s="11">
        <v>62.1</v>
      </c>
      <c r="E13" s="11">
        <v>66.599999999999994</v>
      </c>
      <c r="F13" s="11">
        <v>66.900000000000006</v>
      </c>
      <c r="G13" s="11">
        <v>71.2</v>
      </c>
      <c r="H13" s="11">
        <v>75.599999999999994</v>
      </c>
      <c r="I13" s="11">
        <v>77.3</v>
      </c>
      <c r="J13" s="11">
        <v>79.8</v>
      </c>
      <c r="K13" s="11">
        <v>83.9</v>
      </c>
      <c r="L13" s="11">
        <v>87.7</v>
      </c>
      <c r="M13" s="11"/>
      <c r="N13" s="10" t="s">
        <v>15</v>
      </c>
      <c r="O13" s="12">
        <v>95001</v>
      </c>
      <c r="P13" s="12">
        <v>97398</v>
      </c>
      <c r="Q13" s="12">
        <v>100159</v>
      </c>
      <c r="R13" s="12">
        <v>104788</v>
      </c>
      <c r="S13" s="12">
        <v>102712</v>
      </c>
      <c r="T13" s="12">
        <v>107233</v>
      </c>
      <c r="U13" s="12">
        <v>111648</v>
      </c>
      <c r="V13" s="12">
        <v>112369</v>
      </c>
      <c r="W13" s="12">
        <v>114453</v>
      </c>
      <c r="X13" s="12">
        <v>119198</v>
      </c>
      <c r="Y13" s="12">
        <v>123798</v>
      </c>
      <c r="Z13" s="13"/>
      <c r="AA13" s="10" t="s">
        <v>15</v>
      </c>
      <c r="AB13" s="13">
        <v>188.5</v>
      </c>
      <c r="AC13" s="13">
        <v>187.3</v>
      </c>
      <c r="AD13" s="13">
        <v>184.9</v>
      </c>
      <c r="AE13" s="13">
        <v>182.6</v>
      </c>
      <c r="AF13" s="13">
        <v>177.8</v>
      </c>
      <c r="AG13" s="13">
        <v>176.2</v>
      </c>
      <c r="AH13" s="13">
        <v>176.9</v>
      </c>
      <c r="AI13" s="13">
        <v>175.3</v>
      </c>
      <c r="AJ13" s="13">
        <v>170.1</v>
      </c>
      <c r="AK13" s="13">
        <v>168.6</v>
      </c>
      <c r="AL13" s="13">
        <v>169.5</v>
      </c>
    </row>
    <row r="14" spans="1:38" ht="15.75" x14ac:dyDescent="0.25">
      <c r="A14" s="14" t="s">
        <v>16</v>
      </c>
      <c r="B14" s="15">
        <v>835.3</v>
      </c>
      <c r="C14" s="15">
        <v>863.8</v>
      </c>
      <c r="D14" s="15">
        <v>892</v>
      </c>
      <c r="E14" s="15">
        <v>949.9</v>
      </c>
      <c r="F14" s="15">
        <v>951.6</v>
      </c>
      <c r="G14" s="15">
        <v>1028.8</v>
      </c>
      <c r="H14" s="15">
        <v>1107.9000000000001</v>
      </c>
      <c r="I14" s="15">
        <v>1135.0999999999999</v>
      </c>
      <c r="J14" s="15">
        <v>1251.5</v>
      </c>
      <c r="K14" s="15">
        <v>1330</v>
      </c>
      <c r="L14" s="15">
        <v>1399.8</v>
      </c>
      <c r="M14" s="11"/>
      <c r="N14" s="14" t="s">
        <v>16</v>
      </c>
      <c r="O14" s="16">
        <v>44781</v>
      </c>
      <c r="P14" s="16">
        <v>45833</v>
      </c>
      <c r="Q14" s="16">
        <v>46808</v>
      </c>
      <c r="R14" s="16">
        <v>49214</v>
      </c>
      <c r="S14" s="16">
        <v>48669</v>
      </c>
      <c r="T14" s="16">
        <v>51821</v>
      </c>
      <c r="U14" s="16">
        <v>54796</v>
      </c>
      <c r="V14" s="16">
        <v>55030</v>
      </c>
      <c r="W14" s="16">
        <v>59659</v>
      </c>
      <c r="X14" s="16">
        <v>62572</v>
      </c>
      <c r="Y14" s="16">
        <v>65133</v>
      </c>
      <c r="Z14" s="13"/>
      <c r="AA14" s="14" t="s">
        <v>16</v>
      </c>
      <c r="AB14" s="17">
        <v>88.8</v>
      </c>
      <c r="AC14" s="17">
        <v>88.2</v>
      </c>
      <c r="AD14" s="17">
        <v>86.4</v>
      </c>
      <c r="AE14" s="17">
        <v>85.8</v>
      </c>
      <c r="AF14" s="17">
        <v>84.3</v>
      </c>
      <c r="AG14" s="17">
        <v>85.2</v>
      </c>
      <c r="AH14" s="17">
        <v>86.8</v>
      </c>
      <c r="AI14" s="17">
        <v>85.9</v>
      </c>
      <c r="AJ14" s="17">
        <v>88.7</v>
      </c>
      <c r="AK14" s="17">
        <v>88.5</v>
      </c>
      <c r="AL14" s="17">
        <v>89.2</v>
      </c>
    </row>
    <row r="15" spans="1:38" ht="15.75" x14ac:dyDescent="0.25">
      <c r="A15" s="10" t="s">
        <v>17</v>
      </c>
      <c r="B15" s="11">
        <v>426.4</v>
      </c>
      <c r="C15" s="11">
        <v>435.7</v>
      </c>
      <c r="D15" s="11">
        <v>456.6</v>
      </c>
      <c r="E15" s="11">
        <v>479.8</v>
      </c>
      <c r="F15" s="11">
        <v>488.3</v>
      </c>
      <c r="G15" s="11">
        <v>523.6</v>
      </c>
      <c r="H15" s="11">
        <v>558.20000000000005</v>
      </c>
      <c r="I15" s="11">
        <v>582.29999999999995</v>
      </c>
      <c r="J15" s="11">
        <v>623</v>
      </c>
      <c r="K15" s="11">
        <v>659.2</v>
      </c>
      <c r="L15" s="11">
        <v>684.1</v>
      </c>
      <c r="M15" s="11"/>
      <c r="N15" s="10" t="s">
        <v>17</v>
      </c>
      <c r="O15" s="12">
        <v>44321</v>
      </c>
      <c r="P15" s="12">
        <v>44865</v>
      </c>
      <c r="Q15" s="12">
        <v>46573</v>
      </c>
      <c r="R15" s="12">
        <v>48445</v>
      </c>
      <c r="S15" s="12">
        <v>48953</v>
      </c>
      <c r="T15" s="12">
        <v>51991</v>
      </c>
      <c r="U15" s="12">
        <v>54817</v>
      </c>
      <c r="V15" s="12">
        <v>56484</v>
      </c>
      <c r="W15" s="12">
        <v>59810</v>
      </c>
      <c r="X15" s="12">
        <v>62668</v>
      </c>
      <c r="Y15" s="12">
        <v>64368</v>
      </c>
      <c r="Z15" s="13"/>
      <c r="AA15" s="10" t="s">
        <v>17</v>
      </c>
      <c r="AB15" s="13">
        <v>87.9</v>
      </c>
      <c r="AC15" s="13">
        <v>86.3</v>
      </c>
      <c r="AD15" s="13">
        <v>86</v>
      </c>
      <c r="AE15" s="13">
        <v>84.4</v>
      </c>
      <c r="AF15" s="13">
        <v>84.8</v>
      </c>
      <c r="AG15" s="13">
        <v>85.5</v>
      </c>
      <c r="AH15" s="13">
        <v>86.9</v>
      </c>
      <c r="AI15" s="13">
        <v>88.1</v>
      </c>
      <c r="AJ15" s="13">
        <v>88.9</v>
      </c>
      <c r="AK15" s="13">
        <v>88.6</v>
      </c>
      <c r="AL15" s="13">
        <v>88.2</v>
      </c>
    </row>
    <row r="16" spans="1:38" ht="15.75" x14ac:dyDescent="0.25">
      <c r="A16" s="10" t="s">
        <v>18</v>
      </c>
      <c r="B16" s="11">
        <v>68.599999999999994</v>
      </c>
      <c r="C16" s="11">
        <v>70.599999999999994</v>
      </c>
      <c r="D16" s="11">
        <v>73.3</v>
      </c>
      <c r="E16" s="11">
        <v>77.5</v>
      </c>
      <c r="F16" s="11">
        <v>78.3</v>
      </c>
      <c r="G16" s="11">
        <v>81.8</v>
      </c>
      <c r="H16" s="11">
        <v>86.9</v>
      </c>
      <c r="I16" s="11">
        <v>90.7</v>
      </c>
      <c r="J16" s="11">
        <v>95.1</v>
      </c>
      <c r="K16" s="11">
        <v>98.3</v>
      </c>
      <c r="L16" s="11">
        <v>100.8</v>
      </c>
      <c r="M16" s="11"/>
      <c r="N16" s="10" t="s">
        <v>18</v>
      </c>
      <c r="O16" s="12">
        <v>50907</v>
      </c>
      <c r="P16" s="12">
        <v>51732</v>
      </c>
      <c r="Q16" s="12">
        <v>53149</v>
      </c>
      <c r="R16" s="12">
        <v>55546</v>
      </c>
      <c r="S16" s="12">
        <v>55558</v>
      </c>
      <c r="T16" s="12">
        <v>57821</v>
      </c>
      <c r="U16" s="12">
        <v>61070</v>
      </c>
      <c r="V16" s="12">
        <v>63458</v>
      </c>
      <c r="W16" s="12">
        <v>66714</v>
      </c>
      <c r="X16" s="12">
        <v>69085</v>
      </c>
      <c r="Y16" s="12">
        <v>71216</v>
      </c>
      <c r="Z16" s="13"/>
      <c r="AA16" s="10" t="s">
        <v>18</v>
      </c>
      <c r="AB16" s="13">
        <v>101</v>
      </c>
      <c r="AC16" s="13">
        <v>99.5</v>
      </c>
      <c r="AD16" s="13">
        <v>98.1</v>
      </c>
      <c r="AE16" s="13">
        <v>96.8</v>
      </c>
      <c r="AF16" s="13">
        <v>96.2</v>
      </c>
      <c r="AG16" s="13">
        <v>95</v>
      </c>
      <c r="AH16" s="13">
        <v>96.8</v>
      </c>
      <c r="AI16" s="13">
        <v>99</v>
      </c>
      <c r="AJ16" s="13">
        <v>99.1</v>
      </c>
      <c r="AK16" s="13">
        <v>97.7</v>
      </c>
      <c r="AL16" s="13">
        <v>97.5</v>
      </c>
    </row>
    <row r="17" spans="1:38" ht="15.75" x14ac:dyDescent="0.25">
      <c r="A17" s="10" t="s">
        <v>19</v>
      </c>
      <c r="B17" s="11">
        <v>59.2</v>
      </c>
      <c r="C17" s="11">
        <v>60.7</v>
      </c>
      <c r="D17" s="11">
        <v>63.4</v>
      </c>
      <c r="E17" s="11">
        <v>67.400000000000006</v>
      </c>
      <c r="F17" s="11">
        <v>69.5</v>
      </c>
      <c r="G17" s="11">
        <v>73.5</v>
      </c>
      <c r="H17" s="11">
        <v>77</v>
      </c>
      <c r="I17" s="11">
        <v>80.599999999999994</v>
      </c>
      <c r="J17" s="11">
        <v>85.7</v>
      </c>
      <c r="K17" s="11">
        <v>92.6</v>
      </c>
      <c r="L17" s="11">
        <v>98.6</v>
      </c>
      <c r="M17" s="11"/>
      <c r="N17" s="10" t="s">
        <v>19</v>
      </c>
      <c r="O17" s="12">
        <v>38093</v>
      </c>
      <c r="P17" s="12">
        <v>38664</v>
      </c>
      <c r="Q17" s="12">
        <v>40024</v>
      </c>
      <c r="R17" s="12">
        <v>42214</v>
      </c>
      <c r="S17" s="12">
        <v>43115</v>
      </c>
      <c r="T17" s="12">
        <v>45003</v>
      </c>
      <c r="U17" s="12">
        <v>46619</v>
      </c>
      <c r="V17" s="12">
        <v>47853</v>
      </c>
      <c r="W17" s="12">
        <v>49851</v>
      </c>
      <c r="X17" s="12">
        <v>52880</v>
      </c>
      <c r="Y17" s="12">
        <v>55113</v>
      </c>
      <c r="Z17" s="13"/>
      <c r="AA17" s="10" t="s">
        <v>19</v>
      </c>
      <c r="AB17" s="13">
        <v>75.599999999999994</v>
      </c>
      <c r="AC17" s="13">
        <v>74.400000000000006</v>
      </c>
      <c r="AD17" s="13">
        <v>73.900000000000006</v>
      </c>
      <c r="AE17" s="13">
        <v>73.599999999999994</v>
      </c>
      <c r="AF17" s="13">
        <v>74.599999999999994</v>
      </c>
      <c r="AG17" s="13">
        <v>74</v>
      </c>
      <c r="AH17" s="13">
        <v>73.900000000000006</v>
      </c>
      <c r="AI17" s="13">
        <v>74.7</v>
      </c>
      <c r="AJ17" s="13">
        <v>74.099999999999994</v>
      </c>
      <c r="AK17" s="13">
        <v>74.8</v>
      </c>
      <c r="AL17" s="13">
        <v>75.5</v>
      </c>
    </row>
    <row r="18" spans="1:38" ht="15.75" x14ac:dyDescent="0.25">
      <c r="A18" s="10" t="s">
        <v>20</v>
      </c>
      <c r="B18" s="11">
        <v>694.2</v>
      </c>
      <c r="C18" s="11">
        <v>713.5</v>
      </c>
      <c r="D18" s="11">
        <v>748.6</v>
      </c>
      <c r="E18" s="11">
        <v>801.4</v>
      </c>
      <c r="F18" s="11">
        <v>802.7</v>
      </c>
      <c r="G18" s="11">
        <v>850.3</v>
      </c>
      <c r="H18" s="11">
        <v>887.6</v>
      </c>
      <c r="I18" s="11">
        <v>890.8</v>
      </c>
      <c r="J18" s="11">
        <v>922.1</v>
      </c>
      <c r="K18" s="11">
        <v>975.5</v>
      </c>
      <c r="L18" s="11">
        <v>994</v>
      </c>
      <c r="M18" s="11"/>
      <c r="N18" s="10" t="s">
        <v>20</v>
      </c>
      <c r="O18" s="12">
        <v>54250</v>
      </c>
      <c r="P18" s="12">
        <v>55568</v>
      </c>
      <c r="Q18" s="12">
        <v>58176</v>
      </c>
      <c r="R18" s="12">
        <v>62209</v>
      </c>
      <c r="S18" s="12">
        <v>62248</v>
      </c>
      <c r="T18" s="12">
        <v>65990</v>
      </c>
      <c r="U18" s="12">
        <v>69025</v>
      </c>
      <c r="V18" s="12">
        <v>69477</v>
      </c>
      <c r="W18" s="12">
        <v>72152</v>
      </c>
      <c r="X18" s="12">
        <v>76662</v>
      </c>
      <c r="Y18" s="12">
        <v>78468</v>
      </c>
      <c r="Z18" s="13"/>
      <c r="AA18" s="10" t="s">
        <v>20</v>
      </c>
      <c r="AB18" s="13">
        <v>107.6</v>
      </c>
      <c r="AC18" s="13">
        <v>106.9</v>
      </c>
      <c r="AD18" s="13">
        <v>107.4</v>
      </c>
      <c r="AE18" s="13">
        <v>108.4</v>
      </c>
      <c r="AF18" s="13">
        <v>107.8</v>
      </c>
      <c r="AG18" s="13">
        <v>108.5</v>
      </c>
      <c r="AH18" s="13">
        <v>109.4</v>
      </c>
      <c r="AI18" s="13">
        <v>108.4</v>
      </c>
      <c r="AJ18" s="13">
        <v>107.2</v>
      </c>
      <c r="AK18" s="13">
        <v>108.4</v>
      </c>
      <c r="AL18" s="13">
        <v>107.5</v>
      </c>
    </row>
    <row r="19" spans="1:38" ht="15.75" x14ac:dyDescent="0.25">
      <c r="A19" s="10" t="s">
        <v>21</v>
      </c>
      <c r="B19" s="11">
        <v>285.60000000000002</v>
      </c>
      <c r="C19" s="11">
        <v>304.8</v>
      </c>
      <c r="D19" s="11">
        <v>317.5</v>
      </c>
      <c r="E19" s="11">
        <v>331.7</v>
      </c>
      <c r="F19" s="11">
        <v>338.5</v>
      </c>
      <c r="G19" s="11">
        <v>358.7</v>
      </c>
      <c r="H19" s="11">
        <v>366.4</v>
      </c>
      <c r="I19" s="11">
        <v>374.1</v>
      </c>
      <c r="J19" s="11">
        <v>390.6</v>
      </c>
      <c r="K19" s="11">
        <v>411.3</v>
      </c>
      <c r="L19" s="11">
        <v>424.3</v>
      </c>
      <c r="M19" s="11"/>
      <c r="N19" s="10" t="s">
        <v>21</v>
      </c>
      <c r="O19" s="12">
        <v>44209</v>
      </c>
      <c r="P19" s="12">
        <v>46965</v>
      </c>
      <c r="Q19" s="12">
        <v>48718</v>
      </c>
      <c r="R19" s="12">
        <v>50729</v>
      </c>
      <c r="S19" s="12">
        <v>51521</v>
      </c>
      <c r="T19" s="12">
        <v>54382</v>
      </c>
      <c r="U19" s="12">
        <v>55418</v>
      </c>
      <c r="V19" s="12">
        <v>56356</v>
      </c>
      <c r="W19" s="12">
        <v>58629</v>
      </c>
      <c r="X19" s="12">
        <v>61407</v>
      </c>
      <c r="Y19" s="12">
        <v>63043</v>
      </c>
      <c r="Z19" s="13"/>
      <c r="AA19" s="10" t="s">
        <v>21</v>
      </c>
      <c r="AB19" s="13">
        <v>87.7</v>
      </c>
      <c r="AC19" s="13">
        <v>90.3</v>
      </c>
      <c r="AD19" s="13">
        <v>90</v>
      </c>
      <c r="AE19" s="13">
        <v>88.4</v>
      </c>
      <c r="AF19" s="13">
        <v>89.2</v>
      </c>
      <c r="AG19" s="13">
        <v>89.4</v>
      </c>
      <c r="AH19" s="13">
        <v>87.8</v>
      </c>
      <c r="AI19" s="13">
        <v>87.9</v>
      </c>
      <c r="AJ19" s="13">
        <v>87.1</v>
      </c>
      <c r="AK19" s="13">
        <v>86.8</v>
      </c>
      <c r="AL19" s="13">
        <v>86.3</v>
      </c>
    </row>
    <row r="20" spans="1:38" ht="15.75" x14ac:dyDescent="0.25">
      <c r="A20" s="10" t="s">
        <v>22</v>
      </c>
      <c r="B20" s="11">
        <v>148.9</v>
      </c>
      <c r="C20" s="11">
        <v>154.19999999999999</v>
      </c>
      <c r="D20" s="11">
        <v>162.6</v>
      </c>
      <c r="E20" s="11">
        <v>176.3</v>
      </c>
      <c r="F20" s="11">
        <v>176.6</v>
      </c>
      <c r="G20" s="11">
        <v>189.4</v>
      </c>
      <c r="H20" s="11">
        <v>198.1</v>
      </c>
      <c r="I20" s="11">
        <v>198</v>
      </c>
      <c r="J20" s="11">
        <v>202.7</v>
      </c>
      <c r="K20" s="11">
        <v>211.8</v>
      </c>
      <c r="L20" s="11">
        <v>217.4</v>
      </c>
      <c r="M20" s="11"/>
      <c r="N20" s="10" t="s">
        <v>22</v>
      </c>
      <c r="O20" s="12">
        <v>49098</v>
      </c>
      <c r="P20" s="12">
        <v>50542</v>
      </c>
      <c r="Q20" s="12">
        <v>53010</v>
      </c>
      <c r="R20" s="12">
        <v>57315</v>
      </c>
      <c r="S20" s="12">
        <v>57090</v>
      </c>
      <c r="T20" s="12">
        <v>60891</v>
      </c>
      <c r="U20" s="12">
        <v>63441</v>
      </c>
      <c r="V20" s="12">
        <v>63186</v>
      </c>
      <c r="W20" s="12">
        <v>64479</v>
      </c>
      <c r="X20" s="12">
        <v>67226</v>
      </c>
      <c r="Y20" s="12">
        <v>68799</v>
      </c>
      <c r="Z20" s="13"/>
      <c r="AA20" s="10" t="s">
        <v>22</v>
      </c>
      <c r="AB20" s="13">
        <v>97.4</v>
      </c>
      <c r="AC20" s="13">
        <v>97.2</v>
      </c>
      <c r="AD20" s="13">
        <v>97.9</v>
      </c>
      <c r="AE20" s="13">
        <v>99.9</v>
      </c>
      <c r="AF20" s="13">
        <v>98.8</v>
      </c>
      <c r="AG20" s="13">
        <v>100.1</v>
      </c>
      <c r="AH20" s="13">
        <v>100.5</v>
      </c>
      <c r="AI20" s="13">
        <v>98.6</v>
      </c>
      <c r="AJ20" s="13">
        <v>95.8</v>
      </c>
      <c r="AK20" s="13">
        <v>95.1</v>
      </c>
      <c r="AL20" s="13">
        <v>94.2</v>
      </c>
    </row>
    <row r="21" spans="1:38" ht="15.75" x14ac:dyDescent="0.25">
      <c r="A21" s="10" t="s">
        <v>23</v>
      </c>
      <c r="B21" s="11">
        <v>140.9</v>
      </c>
      <c r="C21" s="11">
        <v>144.4</v>
      </c>
      <c r="D21" s="11">
        <v>154.1</v>
      </c>
      <c r="E21" s="11">
        <v>163.6</v>
      </c>
      <c r="F21" s="11">
        <v>162.69999999999999</v>
      </c>
      <c r="G21" s="11">
        <v>172</v>
      </c>
      <c r="H21" s="11">
        <v>177.3</v>
      </c>
      <c r="I21" s="11">
        <v>181.8</v>
      </c>
      <c r="J21" s="11">
        <v>189</v>
      </c>
      <c r="K21" s="11">
        <v>199.2</v>
      </c>
      <c r="L21" s="11">
        <v>205</v>
      </c>
      <c r="M21" s="11"/>
      <c r="N21" s="10" t="s">
        <v>23</v>
      </c>
      <c r="O21" s="12">
        <v>49734</v>
      </c>
      <c r="P21" s="12">
        <v>50535</v>
      </c>
      <c r="Q21" s="12">
        <v>53701</v>
      </c>
      <c r="R21" s="12">
        <v>56686</v>
      </c>
      <c r="S21" s="12">
        <v>56213</v>
      </c>
      <c r="T21" s="12">
        <v>59265</v>
      </c>
      <c r="U21" s="12">
        <v>60911</v>
      </c>
      <c r="V21" s="12">
        <v>62419</v>
      </c>
      <c r="W21" s="12">
        <v>64932</v>
      </c>
      <c r="X21" s="12">
        <v>68393</v>
      </c>
      <c r="Y21" s="12">
        <v>70369</v>
      </c>
      <c r="Z21" s="13"/>
      <c r="AA21" s="10" t="s">
        <v>23</v>
      </c>
      <c r="AB21" s="13">
        <v>98.7</v>
      </c>
      <c r="AC21" s="13">
        <v>97.2</v>
      </c>
      <c r="AD21" s="13">
        <v>99.2</v>
      </c>
      <c r="AE21" s="13">
        <v>98.8</v>
      </c>
      <c r="AF21" s="13">
        <v>97.3</v>
      </c>
      <c r="AG21" s="13">
        <v>97.4</v>
      </c>
      <c r="AH21" s="13">
        <v>96.5</v>
      </c>
      <c r="AI21" s="13">
        <v>97.4</v>
      </c>
      <c r="AJ21" s="13">
        <v>96.5</v>
      </c>
      <c r="AK21" s="13">
        <v>96.7</v>
      </c>
      <c r="AL21" s="13">
        <v>96.4</v>
      </c>
    </row>
    <row r="22" spans="1:38" ht="15.75" x14ac:dyDescent="0.25">
      <c r="A22" s="10" t="s">
        <v>24</v>
      </c>
      <c r="B22" s="11">
        <v>169.6</v>
      </c>
      <c r="C22" s="11">
        <v>178.6</v>
      </c>
      <c r="D22" s="11">
        <v>185.5</v>
      </c>
      <c r="E22" s="11">
        <v>195.8</v>
      </c>
      <c r="F22" s="11">
        <v>198.6</v>
      </c>
      <c r="G22" s="11">
        <v>205.8</v>
      </c>
      <c r="H22" s="11">
        <v>213.8</v>
      </c>
      <c r="I22" s="11">
        <v>217.4</v>
      </c>
      <c r="J22" s="11">
        <v>223.4</v>
      </c>
      <c r="K22" s="11">
        <v>234.7</v>
      </c>
      <c r="L22" s="11">
        <v>241.2</v>
      </c>
      <c r="M22" s="11"/>
      <c r="N22" s="10" t="s">
        <v>24</v>
      </c>
      <c r="O22" s="12">
        <v>39288</v>
      </c>
      <c r="P22" s="12">
        <v>41066</v>
      </c>
      <c r="Q22" s="12">
        <v>42446</v>
      </c>
      <c r="R22" s="12">
        <v>44627</v>
      </c>
      <c r="S22" s="12">
        <v>45062</v>
      </c>
      <c r="T22" s="12">
        <v>46589</v>
      </c>
      <c r="U22" s="12">
        <v>48269</v>
      </c>
      <c r="V22" s="12">
        <v>48956</v>
      </c>
      <c r="W22" s="12">
        <v>50143</v>
      </c>
      <c r="X22" s="12">
        <v>52565</v>
      </c>
      <c r="Y22" s="12">
        <v>53938</v>
      </c>
      <c r="Z22" s="13"/>
      <c r="AA22" s="10" t="s">
        <v>24</v>
      </c>
      <c r="AB22" s="13">
        <v>77.900000000000006</v>
      </c>
      <c r="AC22" s="13">
        <v>79</v>
      </c>
      <c r="AD22" s="13">
        <v>78.400000000000006</v>
      </c>
      <c r="AE22" s="13">
        <v>77.8</v>
      </c>
      <c r="AF22" s="13">
        <v>78</v>
      </c>
      <c r="AG22" s="13">
        <v>76.599999999999994</v>
      </c>
      <c r="AH22" s="13">
        <v>76.5</v>
      </c>
      <c r="AI22" s="13">
        <v>76.400000000000006</v>
      </c>
      <c r="AJ22" s="13">
        <v>74.5</v>
      </c>
      <c r="AK22" s="13">
        <v>74.3</v>
      </c>
      <c r="AL22" s="13">
        <v>73.900000000000006</v>
      </c>
    </row>
    <row r="23" spans="1:38" ht="15.75" x14ac:dyDescent="0.25">
      <c r="A23" s="10" t="s">
        <v>25</v>
      </c>
      <c r="B23" s="11">
        <v>215.5</v>
      </c>
      <c r="C23" s="11">
        <v>233.3</v>
      </c>
      <c r="D23" s="11">
        <v>236.8</v>
      </c>
      <c r="E23" s="11">
        <v>246.9</v>
      </c>
      <c r="F23" s="11">
        <v>238.6</v>
      </c>
      <c r="G23" s="11">
        <v>251.5</v>
      </c>
      <c r="H23" s="11">
        <v>246.7</v>
      </c>
      <c r="I23" s="11">
        <v>240.3</v>
      </c>
      <c r="J23" s="11">
        <v>253.3</v>
      </c>
      <c r="K23" s="11">
        <v>270.5</v>
      </c>
      <c r="L23" s="11">
        <v>275.10000000000002</v>
      </c>
      <c r="M23" s="11"/>
      <c r="N23" s="10" t="s">
        <v>25</v>
      </c>
      <c r="O23" s="12">
        <v>47982</v>
      </c>
      <c r="P23" s="12">
        <v>51334</v>
      </c>
      <c r="Q23" s="12">
        <v>51752</v>
      </c>
      <c r="R23" s="12">
        <v>53651</v>
      </c>
      <c r="S23" s="12">
        <v>51575</v>
      </c>
      <c r="T23" s="12">
        <v>54130</v>
      </c>
      <c r="U23" s="12">
        <v>52855</v>
      </c>
      <c r="V23" s="12">
        <v>51321</v>
      </c>
      <c r="W23" s="12">
        <v>54196</v>
      </c>
      <c r="X23" s="12">
        <v>57984</v>
      </c>
      <c r="Y23" s="12">
        <v>59064</v>
      </c>
      <c r="Z23" s="13"/>
      <c r="AA23" s="10" t="s">
        <v>25</v>
      </c>
      <c r="AB23" s="13">
        <v>95.2</v>
      </c>
      <c r="AC23" s="13">
        <v>98.7</v>
      </c>
      <c r="AD23" s="13">
        <v>95.6</v>
      </c>
      <c r="AE23" s="13">
        <v>93.5</v>
      </c>
      <c r="AF23" s="13">
        <v>89.3</v>
      </c>
      <c r="AG23" s="13">
        <v>89</v>
      </c>
      <c r="AH23" s="13">
        <v>83.8</v>
      </c>
      <c r="AI23" s="13">
        <v>80.099999999999994</v>
      </c>
      <c r="AJ23" s="13">
        <v>80.5</v>
      </c>
      <c r="AK23" s="13">
        <v>82</v>
      </c>
      <c r="AL23" s="13">
        <v>80.900000000000006</v>
      </c>
    </row>
    <row r="24" spans="1:38" ht="15.75" x14ac:dyDescent="0.25">
      <c r="A24" s="14" t="s">
        <v>26</v>
      </c>
      <c r="B24" s="15">
        <v>55.5</v>
      </c>
      <c r="C24" s="15">
        <v>56.7</v>
      </c>
      <c r="D24" s="15">
        <v>57.6</v>
      </c>
      <c r="E24" s="15">
        <v>59.7</v>
      </c>
      <c r="F24" s="15">
        <v>59.7</v>
      </c>
      <c r="G24" s="15">
        <v>63</v>
      </c>
      <c r="H24" s="15">
        <v>65.2</v>
      </c>
      <c r="I24" s="15">
        <v>67.8</v>
      </c>
      <c r="J24" s="15">
        <v>70.599999999999994</v>
      </c>
      <c r="K24" s="15">
        <v>73.900000000000006</v>
      </c>
      <c r="L24" s="15">
        <v>77.400000000000006</v>
      </c>
      <c r="M24" s="11"/>
      <c r="N24" s="14" t="s">
        <v>26</v>
      </c>
      <c r="O24" s="16">
        <v>41711</v>
      </c>
      <c r="P24" s="16">
        <v>42676</v>
      </c>
      <c r="Q24" s="16">
        <v>43370</v>
      </c>
      <c r="R24" s="16">
        <v>44952</v>
      </c>
      <c r="S24" s="16">
        <v>44967</v>
      </c>
      <c r="T24" s="16">
        <v>47325</v>
      </c>
      <c r="U24" s="16">
        <v>49091</v>
      </c>
      <c r="V24" s="16">
        <v>50919</v>
      </c>
      <c r="W24" s="16">
        <v>52874</v>
      </c>
      <c r="X24" s="16">
        <v>55116</v>
      </c>
      <c r="Y24" s="16">
        <v>57541</v>
      </c>
      <c r="Z24" s="18"/>
      <c r="AA24" s="14" t="s">
        <v>26</v>
      </c>
      <c r="AB24" s="17">
        <v>82.7</v>
      </c>
      <c r="AC24" s="17">
        <v>82.1</v>
      </c>
      <c r="AD24" s="17">
        <v>80.099999999999994</v>
      </c>
      <c r="AE24" s="17">
        <v>78.3</v>
      </c>
      <c r="AF24" s="17">
        <v>77.900000000000006</v>
      </c>
      <c r="AG24" s="17">
        <v>77.8</v>
      </c>
      <c r="AH24" s="17">
        <v>77.8</v>
      </c>
      <c r="AI24" s="17">
        <v>79.400000000000006</v>
      </c>
      <c r="AJ24" s="17">
        <v>78.599999999999994</v>
      </c>
      <c r="AK24" s="17">
        <v>78</v>
      </c>
      <c r="AL24" s="17">
        <v>78.8</v>
      </c>
    </row>
    <row r="25" spans="1:38" ht="15.75" x14ac:dyDescent="0.25">
      <c r="A25" s="10" t="s">
        <v>27</v>
      </c>
      <c r="B25" s="11">
        <v>354.7</v>
      </c>
      <c r="C25" s="11">
        <v>368.7</v>
      </c>
      <c r="D25" s="11">
        <v>386.6</v>
      </c>
      <c r="E25" s="11">
        <v>398.5</v>
      </c>
      <c r="F25" s="11">
        <v>398.5</v>
      </c>
      <c r="G25" s="11">
        <v>417.3</v>
      </c>
      <c r="H25" s="11">
        <v>438.5</v>
      </c>
      <c r="I25" s="11">
        <v>455.6</v>
      </c>
      <c r="J25" s="11">
        <v>474.8</v>
      </c>
      <c r="K25" s="11">
        <v>491.2</v>
      </c>
      <c r="L25" s="11">
        <v>509.7</v>
      </c>
      <c r="M25" s="11"/>
      <c r="N25" s="10" t="s">
        <v>27</v>
      </c>
      <c r="O25" s="12">
        <v>61893</v>
      </c>
      <c r="P25" s="12">
        <v>63692</v>
      </c>
      <c r="Q25" s="12">
        <v>66188</v>
      </c>
      <c r="R25" s="12">
        <v>67678</v>
      </c>
      <c r="S25" s="12">
        <v>67251</v>
      </c>
      <c r="T25" s="12">
        <v>70017</v>
      </c>
      <c r="U25" s="12">
        <v>73229</v>
      </c>
      <c r="V25" s="12">
        <v>75837</v>
      </c>
      <c r="W25" s="12">
        <v>78759</v>
      </c>
      <c r="X25" s="12">
        <v>81298</v>
      </c>
      <c r="Y25" s="12">
        <v>84179</v>
      </c>
      <c r="Z25" s="13"/>
      <c r="AA25" s="10" t="s">
        <v>27</v>
      </c>
      <c r="AB25" s="13">
        <v>122.8</v>
      </c>
      <c r="AC25" s="13">
        <v>122.5</v>
      </c>
      <c r="AD25" s="13">
        <v>122.2</v>
      </c>
      <c r="AE25" s="13">
        <v>117.9</v>
      </c>
      <c r="AF25" s="13">
        <v>116.4</v>
      </c>
      <c r="AG25" s="13">
        <v>115.1</v>
      </c>
      <c r="AH25" s="13">
        <v>116</v>
      </c>
      <c r="AI25" s="13">
        <v>118.3</v>
      </c>
      <c r="AJ25" s="13">
        <v>117</v>
      </c>
      <c r="AK25" s="13">
        <v>115</v>
      </c>
      <c r="AL25" s="13">
        <v>115.3</v>
      </c>
    </row>
    <row r="26" spans="1:38" ht="15.75" x14ac:dyDescent="0.25">
      <c r="A26" s="10" t="s">
        <v>28</v>
      </c>
      <c r="B26" s="11">
        <v>420.4</v>
      </c>
      <c r="C26" s="11">
        <v>445.1</v>
      </c>
      <c r="D26" s="11">
        <v>468.1</v>
      </c>
      <c r="E26" s="11">
        <v>500.6</v>
      </c>
      <c r="F26" s="11">
        <v>504.2</v>
      </c>
      <c r="G26" s="11">
        <v>535.1</v>
      </c>
      <c r="H26" s="11">
        <v>567.1</v>
      </c>
      <c r="I26" s="11">
        <v>582.6</v>
      </c>
      <c r="J26" s="11">
        <v>618.1</v>
      </c>
      <c r="K26" s="11">
        <v>651.20000000000005</v>
      </c>
      <c r="L26" s="11">
        <v>678.7</v>
      </c>
      <c r="M26" s="11"/>
      <c r="N26" s="10" t="s">
        <v>28</v>
      </c>
      <c r="O26" s="12">
        <v>64497</v>
      </c>
      <c r="P26" s="12">
        <v>67784</v>
      </c>
      <c r="Q26" s="12">
        <v>70771</v>
      </c>
      <c r="R26" s="12">
        <v>75123</v>
      </c>
      <c r="S26" s="12">
        <v>75080</v>
      </c>
      <c r="T26" s="12">
        <v>79097</v>
      </c>
      <c r="U26" s="12">
        <v>83425</v>
      </c>
      <c r="V26" s="12">
        <v>85329</v>
      </c>
      <c r="W26" s="12">
        <v>90050</v>
      </c>
      <c r="X26" s="12">
        <v>94578</v>
      </c>
      <c r="Y26" s="12">
        <v>98433</v>
      </c>
      <c r="Z26" s="13"/>
      <c r="AA26" s="10" t="s">
        <v>28</v>
      </c>
      <c r="AB26" s="13">
        <v>128</v>
      </c>
      <c r="AC26" s="13">
        <v>130.4</v>
      </c>
      <c r="AD26" s="13">
        <v>130.69999999999999</v>
      </c>
      <c r="AE26" s="13">
        <v>130.9</v>
      </c>
      <c r="AF26" s="13">
        <v>130</v>
      </c>
      <c r="AG26" s="13">
        <v>130</v>
      </c>
      <c r="AH26" s="13">
        <v>132.19999999999999</v>
      </c>
      <c r="AI26" s="13">
        <v>133.1</v>
      </c>
      <c r="AJ26" s="13">
        <v>133.80000000000001</v>
      </c>
      <c r="AK26" s="13">
        <v>133.80000000000001</v>
      </c>
      <c r="AL26" s="13">
        <v>134.80000000000001</v>
      </c>
    </row>
    <row r="27" spans="1:38" ht="15.75" x14ac:dyDescent="0.25">
      <c r="A27" s="10" t="s">
        <v>29</v>
      </c>
      <c r="B27" s="11">
        <v>392.1</v>
      </c>
      <c r="C27" s="11">
        <v>414.5</v>
      </c>
      <c r="D27" s="11">
        <v>436.6</v>
      </c>
      <c r="E27" s="11">
        <v>464.8</v>
      </c>
      <c r="F27" s="11">
        <v>474.9</v>
      </c>
      <c r="G27" s="11">
        <v>498</v>
      </c>
      <c r="H27" s="11">
        <v>527</v>
      </c>
      <c r="I27" s="11">
        <v>543.9</v>
      </c>
      <c r="J27" s="11">
        <v>561.5</v>
      </c>
      <c r="K27" s="11">
        <v>587.20000000000005</v>
      </c>
      <c r="L27" s="11">
        <v>602.4</v>
      </c>
      <c r="M27" s="11"/>
      <c r="N27" s="10" t="s">
        <v>29</v>
      </c>
      <c r="O27" s="12">
        <v>39603</v>
      </c>
      <c r="P27" s="12">
        <v>41959</v>
      </c>
      <c r="Q27" s="12">
        <v>44175</v>
      </c>
      <c r="R27" s="12">
        <v>46961</v>
      </c>
      <c r="S27" s="12">
        <v>47897</v>
      </c>
      <c r="T27" s="12">
        <v>50142</v>
      </c>
      <c r="U27" s="12">
        <v>53049</v>
      </c>
      <c r="V27" s="12">
        <v>54643</v>
      </c>
      <c r="W27" s="12">
        <v>56277</v>
      </c>
      <c r="X27" s="12">
        <v>58796</v>
      </c>
      <c r="Y27" s="12">
        <v>60335</v>
      </c>
      <c r="Z27" s="13"/>
      <c r="AA27" s="10" t="s">
        <v>29</v>
      </c>
      <c r="AB27" s="13">
        <v>78.599999999999994</v>
      </c>
      <c r="AC27" s="13">
        <v>80.7</v>
      </c>
      <c r="AD27" s="13">
        <v>81.599999999999994</v>
      </c>
      <c r="AE27" s="13">
        <v>81.8</v>
      </c>
      <c r="AF27" s="13">
        <v>82.9</v>
      </c>
      <c r="AG27" s="13">
        <v>82.4</v>
      </c>
      <c r="AH27" s="13">
        <v>84.1</v>
      </c>
      <c r="AI27" s="13">
        <v>85.2</v>
      </c>
      <c r="AJ27" s="13">
        <v>83.6</v>
      </c>
      <c r="AK27" s="13">
        <v>83.2</v>
      </c>
      <c r="AL27" s="13">
        <v>82.6</v>
      </c>
    </row>
    <row r="28" spans="1:38" ht="15.75" x14ac:dyDescent="0.25">
      <c r="A28" s="10" t="s">
        <v>30</v>
      </c>
      <c r="B28" s="11">
        <v>275.3</v>
      </c>
      <c r="C28" s="11">
        <v>289.39999999999998</v>
      </c>
      <c r="D28" s="11">
        <v>306</v>
      </c>
      <c r="E28" s="11">
        <v>325.60000000000002</v>
      </c>
      <c r="F28" s="11">
        <v>331.5</v>
      </c>
      <c r="G28" s="11">
        <v>351.9</v>
      </c>
      <c r="H28" s="11">
        <v>365.4</v>
      </c>
      <c r="I28" s="11">
        <v>373</v>
      </c>
      <c r="J28" s="11">
        <v>389</v>
      </c>
      <c r="K28" s="11">
        <v>409.4</v>
      </c>
      <c r="L28" s="11">
        <v>423.1</v>
      </c>
      <c r="M28" s="11"/>
      <c r="N28" s="10" t="s">
        <v>30</v>
      </c>
      <c r="O28" s="12">
        <v>52120</v>
      </c>
      <c r="P28" s="12">
        <v>54494</v>
      </c>
      <c r="Q28" s="12">
        <v>57234</v>
      </c>
      <c r="R28" s="12">
        <v>60553</v>
      </c>
      <c r="S28" s="12">
        <v>61231</v>
      </c>
      <c r="T28" s="12">
        <v>64529</v>
      </c>
      <c r="U28" s="12">
        <v>66639</v>
      </c>
      <c r="V28" s="12">
        <v>67514</v>
      </c>
      <c r="W28" s="12">
        <v>69846</v>
      </c>
      <c r="X28" s="12">
        <v>72991</v>
      </c>
      <c r="Y28" s="12">
        <v>75024</v>
      </c>
      <c r="Z28" s="13"/>
      <c r="AA28" s="10" t="s">
        <v>30</v>
      </c>
      <c r="AB28" s="13">
        <v>103.4</v>
      </c>
      <c r="AC28" s="13">
        <v>104.8</v>
      </c>
      <c r="AD28" s="13">
        <v>105.7</v>
      </c>
      <c r="AE28" s="13">
        <v>105.5</v>
      </c>
      <c r="AF28" s="13">
        <v>106</v>
      </c>
      <c r="AG28" s="13">
        <v>106.1</v>
      </c>
      <c r="AH28" s="13">
        <v>105.6</v>
      </c>
      <c r="AI28" s="13">
        <v>105.3</v>
      </c>
      <c r="AJ28" s="13">
        <v>103.8</v>
      </c>
      <c r="AK28" s="13">
        <v>103.2</v>
      </c>
      <c r="AL28" s="13">
        <v>102.7</v>
      </c>
    </row>
    <row r="29" spans="1:38" ht="15.75" x14ac:dyDescent="0.25">
      <c r="A29" s="10" t="s">
        <v>31</v>
      </c>
      <c r="B29" s="11">
        <v>104.2</v>
      </c>
      <c r="C29" s="11">
        <v>105.7</v>
      </c>
      <c r="D29" s="11">
        <v>108.4</v>
      </c>
      <c r="E29" s="11">
        <v>113.9</v>
      </c>
      <c r="F29" s="11">
        <v>113.9</v>
      </c>
      <c r="G29" s="11">
        <v>117.4</v>
      </c>
      <c r="H29" s="11">
        <v>119.9</v>
      </c>
      <c r="I29" s="11">
        <v>121.1</v>
      </c>
      <c r="J29" s="11">
        <v>124.4</v>
      </c>
      <c r="K29" s="11">
        <v>129.19999999999999</v>
      </c>
      <c r="L29" s="11">
        <v>132.19999999999999</v>
      </c>
      <c r="M29" s="11"/>
      <c r="N29" s="10" t="s">
        <v>31</v>
      </c>
      <c r="O29" s="12">
        <v>35209</v>
      </c>
      <c r="P29" s="12">
        <v>35597</v>
      </c>
      <c r="Q29" s="12">
        <v>36378</v>
      </c>
      <c r="R29" s="12">
        <v>38159</v>
      </c>
      <c r="S29" s="12">
        <v>38112</v>
      </c>
      <c r="T29" s="12">
        <v>39230</v>
      </c>
      <c r="U29" s="12">
        <v>40086</v>
      </c>
      <c r="V29" s="12">
        <v>40492</v>
      </c>
      <c r="W29" s="12">
        <v>41607</v>
      </c>
      <c r="X29" s="12">
        <v>43309</v>
      </c>
      <c r="Y29" s="12">
        <v>44373</v>
      </c>
      <c r="Z29" s="13"/>
      <c r="AA29" s="10" t="s">
        <v>31</v>
      </c>
      <c r="AB29" s="13">
        <v>69.8</v>
      </c>
      <c r="AC29" s="13">
        <v>68.5</v>
      </c>
      <c r="AD29" s="13">
        <v>67.2</v>
      </c>
      <c r="AE29" s="13">
        <v>66.5</v>
      </c>
      <c r="AF29" s="13">
        <v>66</v>
      </c>
      <c r="AG29" s="13">
        <v>64.5</v>
      </c>
      <c r="AH29" s="13">
        <v>63.5</v>
      </c>
      <c r="AI29" s="13">
        <v>63.2</v>
      </c>
      <c r="AJ29" s="13">
        <v>61.8</v>
      </c>
      <c r="AK29" s="13">
        <v>61.3</v>
      </c>
      <c r="AL29" s="13">
        <v>60.8</v>
      </c>
    </row>
    <row r="30" spans="1:38" ht="15.75" x14ac:dyDescent="0.25">
      <c r="A30" s="10" t="s">
        <v>32</v>
      </c>
      <c r="B30" s="11">
        <v>273.5</v>
      </c>
      <c r="C30" s="11">
        <v>281.60000000000002</v>
      </c>
      <c r="D30" s="11">
        <v>287.5</v>
      </c>
      <c r="E30" s="11">
        <v>304.3</v>
      </c>
      <c r="F30" s="11">
        <v>307</v>
      </c>
      <c r="G30" s="11">
        <v>319.8</v>
      </c>
      <c r="H30" s="11">
        <v>332.1</v>
      </c>
      <c r="I30" s="11">
        <v>336</v>
      </c>
      <c r="J30" s="11">
        <v>345.8</v>
      </c>
      <c r="K30" s="11">
        <v>362.9</v>
      </c>
      <c r="L30" s="11">
        <v>375.8</v>
      </c>
      <c r="M30" s="11"/>
      <c r="N30" s="10" t="s">
        <v>32</v>
      </c>
      <c r="O30" s="12">
        <v>45876</v>
      </c>
      <c r="P30" s="12">
        <v>46956</v>
      </c>
      <c r="Q30" s="12">
        <v>47828</v>
      </c>
      <c r="R30" s="12">
        <v>50490</v>
      </c>
      <c r="S30" s="12">
        <v>50800</v>
      </c>
      <c r="T30" s="12">
        <v>52779</v>
      </c>
      <c r="U30" s="12">
        <v>54662</v>
      </c>
      <c r="V30" s="12">
        <v>55164</v>
      </c>
      <c r="W30" s="12">
        <v>56589</v>
      </c>
      <c r="X30" s="12">
        <v>59240</v>
      </c>
      <c r="Y30" s="12">
        <v>61194</v>
      </c>
      <c r="Z30" s="13"/>
      <c r="AA30" s="10" t="s">
        <v>32</v>
      </c>
      <c r="AB30" s="13">
        <v>91</v>
      </c>
      <c r="AC30" s="13">
        <v>90.3</v>
      </c>
      <c r="AD30" s="13">
        <v>88.3</v>
      </c>
      <c r="AE30" s="13">
        <v>88</v>
      </c>
      <c r="AF30" s="13">
        <v>88</v>
      </c>
      <c r="AG30" s="13">
        <v>86.7</v>
      </c>
      <c r="AH30" s="13">
        <v>86.6</v>
      </c>
      <c r="AI30" s="13">
        <v>86.1</v>
      </c>
      <c r="AJ30" s="13">
        <v>84.1</v>
      </c>
      <c r="AK30" s="13">
        <v>83.8</v>
      </c>
      <c r="AL30" s="13">
        <v>83.8</v>
      </c>
    </row>
    <row r="31" spans="1:38" ht="15.75" x14ac:dyDescent="0.25">
      <c r="A31" s="10" t="s">
        <v>33</v>
      </c>
      <c r="B31" s="11">
        <v>40.1</v>
      </c>
      <c r="C31" s="11">
        <v>42.1</v>
      </c>
      <c r="D31" s="11">
        <v>45.3</v>
      </c>
      <c r="E31" s="11">
        <v>48.4</v>
      </c>
      <c r="F31" s="11">
        <v>48.3</v>
      </c>
      <c r="G31" s="11">
        <v>51.1</v>
      </c>
      <c r="H31" s="11">
        <v>53.4</v>
      </c>
      <c r="I31" s="11">
        <v>52.7</v>
      </c>
      <c r="J31" s="11">
        <v>56.2</v>
      </c>
      <c r="K31" s="11">
        <v>59.6</v>
      </c>
      <c r="L31" s="11">
        <v>62.7</v>
      </c>
      <c r="M31" s="11"/>
      <c r="N31" s="10" t="s">
        <v>33</v>
      </c>
      <c r="O31" s="12">
        <v>40754</v>
      </c>
      <c r="P31" s="12">
        <v>42488</v>
      </c>
      <c r="Q31" s="12">
        <v>45388</v>
      </c>
      <c r="R31" s="12">
        <v>48224</v>
      </c>
      <c r="S31" s="12">
        <v>47610</v>
      </c>
      <c r="T31" s="12">
        <v>49988</v>
      </c>
      <c r="U31" s="12">
        <v>51745</v>
      </c>
      <c r="V31" s="12">
        <v>50573</v>
      </c>
      <c r="W31" s="12">
        <v>53287</v>
      </c>
      <c r="X31" s="12">
        <v>56085</v>
      </c>
      <c r="Y31" s="12">
        <v>58584</v>
      </c>
      <c r="Z31" s="13"/>
      <c r="AA31" s="10" t="s">
        <v>33</v>
      </c>
      <c r="AB31" s="13">
        <v>80.8</v>
      </c>
      <c r="AC31" s="13">
        <v>81.7</v>
      </c>
      <c r="AD31" s="13">
        <v>83.8</v>
      </c>
      <c r="AE31" s="13">
        <v>84</v>
      </c>
      <c r="AF31" s="13">
        <v>82.4</v>
      </c>
      <c r="AG31" s="13">
        <v>82.2</v>
      </c>
      <c r="AH31" s="13">
        <v>82</v>
      </c>
      <c r="AI31" s="13">
        <v>78.900000000000006</v>
      </c>
      <c r="AJ31" s="13">
        <v>79.2</v>
      </c>
      <c r="AK31" s="13">
        <v>79.3</v>
      </c>
      <c r="AL31" s="13">
        <v>80.2</v>
      </c>
    </row>
    <row r="32" spans="1:38" ht="15.75" x14ac:dyDescent="0.25">
      <c r="A32" s="10" t="s">
        <v>34</v>
      </c>
      <c r="B32" s="11">
        <v>93.5</v>
      </c>
      <c r="C32" s="11">
        <v>99.1</v>
      </c>
      <c r="D32" s="11">
        <v>107.9</v>
      </c>
      <c r="E32" s="11">
        <v>113.9</v>
      </c>
      <c r="F32" s="11">
        <v>115</v>
      </c>
      <c r="G32" s="11">
        <v>122.1</v>
      </c>
      <c r="H32" s="11">
        <v>126.7</v>
      </c>
      <c r="I32" s="11">
        <v>127.3</v>
      </c>
      <c r="J32" s="11">
        <v>132.5</v>
      </c>
      <c r="K32" s="11">
        <v>137.1</v>
      </c>
      <c r="L32" s="11">
        <v>143.1</v>
      </c>
      <c r="M32" s="11"/>
      <c r="N32" s="10" t="s">
        <v>34</v>
      </c>
      <c r="O32" s="12">
        <v>51576</v>
      </c>
      <c r="P32" s="12">
        <v>54162</v>
      </c>
      <c r="Q32" s="12">
        <v>58619</v>
      </c>
      <c r="R32" s="12">
        <v>61452</v>
      </c>
      <c r="S32" s="12">
        <v>61645</v>
      </c>
      <c r="T32" s="12">
        <v>64957</v>
      </c>
      <c r="U32" s="12">
        <v>66990</v>
      </c>
      <c r="V32" s="12">
        <v>66777</v>
      </c>
      <c r="W32" s="12">
        <v>69099</v>
      </c>
      <c r="X32" s="12">
        <v>71224</v>
      </c>
      <c r="Y32" s="12">
        <v>74042</v>
      </c>
      <c r="Z32" s="13"/>
      <c r="AA32" s="10" t="s">
        <v>34</v>
      </c>
      <c r="AB32" s="13">
        <v>102.3</v>
      </c>
      <c r="AC32" s="13">
        <v>104.2</v>
      </c>
      <c r="AD32" s="13">
        <v>108.2</v>
      </c>
      <c r="AE32" s="13">
        <v>107.1</v>
      </c>
      <c r="AF32" s="13">
        <v>106.7</v>
      </c>
      <c r="AG32" s="13">
        <v>106.8</v>
      </c>
      <c r="AH32" s="13">
        <v>106.1</v>
      </c>
      <c r="AI32" s="13">
        <v>104.2</v>
      </c>
      <c r="AJ32" s="13">
        <v>102.7</v>
      </c>
      <c r="AK32" s="13">
        <v>100.7</v>
      </c>
      <c r="AL32" s="13">
        <v>101.4</v>
      </c>
    </row>
    <row r="33" spans="1:38" ht="15.75" x14ac:dyDescent="0.25">
      <c r="A33" s="10" t="s">
        <v>35</v>
      </c>
      <c r="B33" s="11">
        <v>131.4</v>
      </c>
      <c r="C33" s="11">
        <v>136</v>
      </c>
      <c r="D33" s="11">
        <v>139.69999999999999</v>
      </c>
      <c r="E33" s="11">
        <v>147.69999999999999</v>
      </c>
      <c r="F33" s="11">
        <v>148.6</v>
      </c>
      <c r="G33" s="11">
        <v>153.4</v>
      </c>
      <c r="H33" s="11">
        <v>165.5</v>
      </c>
      <c r="I33" s="11">
        <v>175.5</v>
      </c>
      <c r="J33" s="11">
        <v>185.4</v>
      </c>
      <c r="K33" s="11">
        <v>201.5</v>
      </c>
      <c r="L33" s="11">
        <v>207.5</v>
      </c>
      <c r="M33" s="11"/>
      <c r="N33" s="10" t="s">
        <v>35</v>
      </c>
      <c r="O33" s="12">
        <v>48947</v>
      </c>
      <c r="P33" s="12">
        <v>50335</v>
      </c>
      <c r="Q33" s="12">
        <v>51492</v>
      </c>
      <c r="R33" s="12">
        <v>53798</v>
      </c>
      <c r="S33" s="12">
        <v>53510</v>
      </c>
      <c r="T33" s="12">
        <v>54408</v>
      </c>
      <c r="U33" s="12">
        <v>57685</v>
      </c>
      <c r="V33" s="12">
        <v>60099</v>
      </c>
      <c r="W33" s="12">
        <v>62364</v>
      </c>
      <c r="X33" s="12">
        <v>66495</v>
      </c>
      <c r="Y33" s="12">
        <v>67147</v>
      </c>
      <c r="Z33" s="13"/>
      <c r="AA33" s="10" t="s">
        <v>35</v>
      </c>
      <c r="AB33" s="13">
        <v>97.1</v>
      </c>
      <c r="AC33" s="13">
        <v>96.8</v>
      </c>
      <c r="AD33" s="13">
        <v>95.1</v>
      </c>
      <c r="AE33" s="13">
        <v>93.7</v>
      </c>
      <c r="AF33" s="13">
        <v>92.6</v>
      </c>
      <c r="AG33" s="13">
        <v>89.4</v>
      </c>
      <c r="AH33" s="13">
        <v>91.4</v>
      </c>
      <c r="AI33" s="13">
        <v>93.8</v>
      </c>
      <c r="AJ33" s="13">
        <v>92.7</v>
      </c>
      <c r="AK33" s="13">
        <v>94</v>
      </c>
      <c r="AL33" s="13">
        <v>92</v>
      </c>
    </row>
    <row r="34" spans="1:38" ht="15.75" x14ac:dyDescent="0.25">
      <c r="A34" s="14" t="s">
        <v>36</v>
      </c>
      <c r="B34" s="15">
        <v>73.3</v>
      </c>
      <c r="C34" s="15">
        <v>76.7</v>
      </c>
      <c r="D34" s="15">
        <v>79.5</v>
      </c>
      <c r="E34" s="15">
        <v>84.2</v>
      </c>
      <c r="F34" s="15">
        <v>84.7</v>
      </c>
      <c r="G34" s="15">
        <v>89</v>
      </c>
      <c r="H34" s="15">
        <v>93.5</v>
      </c>
      <c r="I34" s="15">
        <v>96.6</v>
      </c>
      <c r="J34" s="15">
        <v>101.1</v>
      </c>
      <c r="K34" s="15">
        <v>106</v>
      </c>
      <c r="L34" s="15">
        <v>109.7</v>
      </c>
      <c r="M34" s="11"/>
      <c r="N34" s="19" t="s">
        <v>36</v>
      </c>
      <c r="O34" s="16">
        <v>55707</v>
      </c>
      <c r="P34" s="16">
        <v>58245</v>
      </c>
      <c r="Q34" s="16">
        <v>60174</v>
      </c>
      <c r="R34" s="16">
        <v>63582</v>
      </c>
      <c r="S34" s="16">
        <v>63829</v>
      </c>
      <c r="T34" s="16">
        <v>66735</v>
      </c>
      <c r="U34" s="16">
        <v>69928</v>
      </c>
      <c r="V34" s="16">
        <v>71885</v>
      </c>
      <c r="W34" s="16">
        <v>74880</v>
      </c>
      <c r="X34" s="16">
        <v>78195</v>
      </c>
      <c r="Y34" s="16">
        <v>80646</v>
      </c>
      <c r="Z34" s="13"/>
      <c r="AA34" s="19" t="s">
        <v>36</v>
      </c>
      <c r="AB34" s="17">
        <v>110.5</v>
      </c>
      <c r="AC34" s="17">
        <v>112</v>
      </c>
      <c r="AD34" s="17">
        <v>111.1</v>
      </c>
      <c r="AE34" s="17">
        <v>110.8</v>
      </c>
      <c r="AF34" s="17">
        <v>110.5</v>
      </c>
      <c r="AG34" s="17">
        <v>109.7</v>
      </c>
      <c r="AH34" s="17">
        <v>110.8</v>
      </c>
      <c r="AI34" s="17">
        <v>112.1</v>
      </c>
      <c r="AJ34" s="17">
        <v>111.3</v>
      </c>
      <c r="AK34" s="17">
        <v>110.6</v>
      </c>
      <c r="AL34" s="17">
        <v>110.4</v>
      </c>
    </row>
    <row r="35" spans="1:38" ht="15.75" x14ac:dyDescent="0.25">
      <c r="A35" s="10" t="s">
        <v>37</v>
      </c>
      <c r="B35" s="11">
        <v>566.70000000000005</v>
      </c>
      <c r="C35" s="11">
        <v>580.79999999999995</v>
      </c>
      <c r="D35" s="11">
        <v>596.9</v>
      </c>
      <c r="E35" s="11">
        <v>633.6</v>
      </c>
      <c r="F35" s="11">
        <v>642.1</v>
      </c>
      <c r="G35" s="11">
        <v>662.6</v>
      </c>
      <c r="H35" s="11">
        <v>693.3</v>
      </c>
      <c r="I35" s="11">
        <v>708</v>
      </c>
      <c r="J35" s="11">
        <v>731.7</v>
      </c>
      <c r="K35" s="11">
        <v>759.3</v>
      </c>
      <c r="L35" s="11">
        <v>785.2</v>
      </c>
      <c r="M35" s="11"/>
      <c r="N35" s="10" t="s">
        <v>37</v>
      </c>
      <c r="O35" s="12">
        <v>64720</v>
      </c>
      <c r="P35" s="12">
        <v>66005</v>
      </c>
      <c r="Q35" s="12">
        <v>67612</v>
      </c>
      <c r="R35" s="12">
        <v>71628</v>
      </c>
      <c r="S35" s="12">
        <v>72484</v>
      </c>
      <c r="T35" s="12">
        <v>74721</v>
      </c>
      <c r="U35" s="12">
        <v>78161</v>
      </c>
      <c r="V35" s="12">
        <v>79783</v>
      </c>
      <c r="W35" s="12">
        <v>82323</v>
      </c>
      <c r="X35" s="12">
        <v>85398</v>
      </c>
      <c r="Y35" s="12">
        <v>88307</v>
      </c>
      <c r="Z35" s="13"/>
      <c r="AA35" s="10" t="s">
        <v>37</v>
      </c>
      <c r="AB35" s="13">
        <v>128.4</v>
      </c>
      <c r="AC35" s="13">
        <v>127</v>
      </c>
      <c r="AD35" s="13">
        <v>124.8</v>
      </c>
      <c r="AE35" s="13">
        <v>124.8</v>
      </c>
      <c r="AF35" s="13">
        <v>125.5</v>
      </c>
      <c r="AG35" s="13">
        <v>122.8</v>
      </c>
      <c r="AH35" s="13">
        <v>123.8</v>
      </c>
      <c r="AI35" s="13">
        <v>124.5</v>
      </c>
      <c r="AJ35" s="13">
        <v>122.3</v>
      </c>
      <c r="AK35" s="13">
        <v>120.8</v>
      </c>
      <c r="AL35" s="13">
        <v>120.9</v>
      </c>
    </row>
    <row r="36" spans="1:38" ht="15.75" x14ac:dyDescent="0.25">
      <c r="A36" s="10" t="s">
        <v>38</v>
      </c>
      <c r="B36" s="11">
        <v>86.3</v>
      </c>
      <c r="C36" s="11">
        <v>88.7</v>
      </c>
      <c r="D36" s="11">
        <v>92.1</v>
      </c>
      <c r="E36" s="11">
        <v>95.2</v>
      </c>
      <c r="F36" s="11">
        <v>94.6</v>
      </c>
      <c r="G36" s="11">
        <v>100</v>
      </c>
      <c r="H36" s="11">
        <v>98.9</v>
      </c>
      <c r="I36" s="11">
        <v>99.1</v>
      </c>
      <c r="J36" s="11">
        <v>103.7</v>
      </c>
      <c r="K36" s="11">
        <v>109.7</v>
      </c>
      <c r="L36" s="11">
        <v>116</v>
      </c>
      <c r="M36" s="11"/>
      <c r="N36" s="10" t="s">
        <v>38</v>
      </c>
      <c r="O36" s="12">
        <v>42379</v>
      </c>
      <c r="P36" s="12">
        <v>42945</v>
      </c>
      <c r="Q36" s="12">
        <v>44264</v>
      </c>
      <c r="R36" s="12">
        <v>45615</v>
      </c>
      <c r="S36" s="12">
        <v>45179</v>
      </c>
      <c r="T36" s="12">
        <v>47864</v>
      </c>
      <c r="U36" s="12">
        <v>47333</v>
      </c>
      <c r="V36" s="12">
        <v>47366</v>
      </c>
      <c r="W36" s="12">
        <v>49533</v>
      </c>
      <c r="X36" s="12">
        <v>52392</v>
      </c>
      <c r="Y36" s="12">
        <v>55259</v>
      </c>
      <c r="Z36" s="13"/>
      <c r="AA36" s="10" t="s">
        <v>38</v>
      </c>
      <c r="AB36" s="13">
        <v>84.1</v>
      </c>
      <c r="AC36" s="13">
        <v>82.6</v>
      </c>
      <c r="AD36" s="13">
        <v>81.7</v>
      </c>
      <c r="AE36" s="13">
        <v>79.5</v>
      </c>
      <c r="AF36" s="13">
        <v>78.2</v>
      </c>
      <c r="AG36" s="13">
        <v>78.7</v>
      </c>
      <c r="AH36" s="13">
        <v>75</v>
      </c>
      <c r="AI36" s="13">
        <v>73.900000000000006</v>
      </c>
      <c r="AJ36" s="13">
        <v>73.599999999999994</v>
      </c>
      <c r="AK36" s="13">
        <v>74.099999999999994</v>
      </c>
      <c r="AL36" s="13">
        <v>75.7</v>
      </c>
    </row>
    <row r="37" spans="1:38" ht="15.75" x14ac:dyDescent="0.25">
      <c r="A37" s="10" t="s">
        <v>39</v>
      </c>
      <c r="B37" s="11">
        <v>1238.9000000000001</v>
      </c>
      <c r="C37" s="11">
        <v>1309.0999999999999</v>
      </c>
      <c r="D37" s="11">
        <v>1355.6</v>
      </c>
      <c r="E37" s="11">
        <v>1491.4</v>
      </c>
      <c r="F37" s="11">
        <v>1508.3</v>
      </c>
      <c r="G37" s="11">
        <v>1602.1</v>
      </c>
      <c r="H37" s="11">
        <v>1665.4</v>
      </c>
      <c r="I37" s="11">
        <v>1714.1</v>
      </c>
      <c r="J37" s="11">
        <v>1809.3</v>
      </c>
      <c r="K37" s="11">
        <v>1911.8</v>
      </c>
      <c r="L37" s="11">
        <v>1972.7</v>
      </c>
      <c r="M37" s="11"/>
      <c r="N37" s="10" t="s">
        <v>39</v>
      </c>
      <c r="O37" s="12">
        <v>64166</v>
      </c>
      <c r="P37" s="12">
        <v>67479</v>
      </c>
      <c r="Q37" s="12">
        <v>69518</v>
      </c>
      <c r="R37" s="12">
        <v>76193</v>
      </c>
      <c r="S37" s="12">
        <v>76850</v>
      </c>
      <c r="T37" s="12">
        <v>81519</v>
      </c>
      <c r="U37" s="12">
        <v>84722</v>
      </c>
      <c r="V37" s="12">
        <v>87293</v>
      </c>
      <c r="W37" s="12">
        <v>92341</v>
      </c>
      <c r="X37" s="12">
        <v>97822</v>
      </c>
      <c r="Y37" s="12">
        <v>101358</v>
      </c>
      <c r="Z37" s="13"/>
      <c r="AA37" s="10" t="s">
        <v>39</v>
      </c>
      <c r="AB37" s="13">
        <v>127.3</v>
      </c>
      <c r="AC37" s="13">
        <v>129.80000000000001</v>
      </c>
      <c r="AD37" s="13">
        <v>128.4</v>
      </c>
      <c r="AE37" s="13">
        <v>132.80000000000001</v>
      </c>
      <c r="AF37" s="13">
        <v>133.1</v>
      </c>
      <c r="AG37" s="13">
        <v>134</v>
      </c>
      <c r="AH37" s="13">
        <v>134.19999999999999</v>
      </c>
      <c r="AI37" s="13">
        <v>136.19999999999999</v>
      </c>
      <c r="AJ37" s="13">
        <v>137.19999999999999</v>
      </c>
      <c r="AK37" s="13">
        <v>138.4</v>
      </c>
      <c r="AL37" s="13">
        <v>138.80000000000001</v>
      </c>
    </row>
    <row r="38" spans="1:38" x14ac:dyDescent="0.25">
      <c r="A38" s="10" t="s">
        <v>40</v>
      </c>
      <c r="B38" s="11">
        <v>422</v>
      </c>
      <c r="C38" s="11">
        <v>431.8</v>
      </c>
      <c r="D38" s="11">
        <v>449.3</v>
      </c>
      <c r="E38" s="11">
        <v>471.1</v>
      </c>
      <c r="F38" s="11">
        <v>480.2</v>
      </c>
      <c r="G38" s="11">
        <v>510.5</v>
      </c>
      <c r="H38" s="11">
        <v>543.5</v>
      </c>
      <c r="I38" s="11">
        <v>561.20000000000005</v>
      </c>
      <c r="J38" s="11">
        <v>588.79999999999995</v>
      </c>
      <c r="K38" s="11">
        <v>621.4</v>
      </c>
      <c r="L38" s="11">
        <v>649.29999999999995</v>
      </c>
      <c r="M38" s="11"/>
      <c r="N38" s="10" t="s">
        <v>40</v>
      </c>
      <c r="O38" s="12">
        <v>44660</v>
      </c>
      <c r="P38" s="12">
        <v>45102</v>
      </c>
      <c r="Q38" s="12">
        <v>46516</v>
      </c>
      <c r="R38" s="12">
        <v>48312</v>
      </c>
      <c r="S38" s="12">
        <v>48770</v>
      </c>
      <c r="T38" s="12">
        <v>51374</v>
      </c>
      <c r="U38" s="12">
        <v>54144</v>
      </c>
      <c r="V38" s="12">
        <v>55229</v>
      </c>
      <c r="W38" s="12">
        <v>57299</v>
      </c>
      <c r="X38" s="12">
        <v>59795</v>
      </c>
      <c r="Y38" s="12">
        <v>61830</v>
      </c>
      <c r="Z38" s="13"/>
      <c r="AA38" s="10" t="s">
        <v>40</v>
      </c>
      <c r="AB38" s="13">
        <v>88.6</v>
      </c>
      <c r="AC38" s="13">
        <v>86.8</v>
      </c>
      <c r="AD38" s="13">
        <v>85.9</v>
      </c>
      <c r="AE38" s="13">
        <v>84.2</v>
      </c>
      <c r="AF38" s="13">
        <v>84.4</v>
      </c>
      <c r="AG38" s="13">
        <v>84.4</v>
      </c>
      <c r="AH38" s="13">
        <v>85.8</v>
      </c>
      <c r="AI38" s="13">
        <v>86.2</v>
      </c>
      <c r="AJ38" s="13">
        <v>85.1</v>
      </c>
      <c r="AK38" s="13">
        <v>84.6</v>
      </c>
      <c r="AL38" s="13">
        <v>84.7</v>
      </c>
    </row>
    <row r="39" spans="1:38" ht="15.75" x14ac:dyDescent="0.25">
      <c r="A39" s="10" t="s">
        <v>41</v>
      </c>
      <c r="B39" s="11">
        <v>34.6</v>
      </c>
      <c r="C39" s="11">
        <v>38.5</v>
      </c>
      <c r="D39" s="11">
        <v>44.7</v>
      </c>
      <c r="E39" s="11">
        <v>56.6</v>
      </c>
      <c r="F39" s="11">
        <v>57.3</v>
      </c>
      <c r="G39" s="11">
        <v>62.8</v>
      </c>
      <c r="H39" s="11">
        <v>58.9</v>
      </c>
      <c r="I39" s="11">
        <v>54.2</v>
      </c>
      <c r="J39" s="11">
        <v>56.3</v>
      </c>
      <c r="K39" s="11">
        <v>60.4</v>
      </c>
      <c r="L39" s="11">
        <v>62.2</v>
      </c>
      <c r="M39" s="11"/>
      <c r="N39" s="10" t="s">
        <v>41</v>
      </c>
      <c r="O39" s="12">
        <v>51995</v>
      </c>
      <c r="P39" s="12">
        <v>57085</v>
      </c>
      <c r="Q39" s="12">
        <v>65168</v>
      </c>
      <c r="R39" s="12">
        <v>80605</v>
      </c>
      <c r="S39" s="12">
        <v>79298</v>
      </c>
      <c r="T39" s="12">
        <v>85015</v>
      </c>
      <c r="U39" s="12">
        <v>77986</v>
      </c>
      <c r="V39" s="12">
        <v>71656</v>
      </c>
      <c r="W39" s="12">
        <v>74451</v>
      </c>
      <c r="X39" s="12">
        <v>79475</v>
      </c>
      <c r="Y39" s="12">
        <v>81403</v>
      </c>
      <c r="Z39" s="13"/>
      <c r="AA39" s="10" t="s">
        <v>41</v>
      </c>
      <c r="AB39" s="13">
        <v>103.1</v>
      </c>
      <c r="AC39" s="13">
        <v>109.8</v>
      </c>
      <c r="AD39" s="13">
        <v>120.3</v>
      </c>
      <c r="AE39" s="13">
        <v>140.5</v>
      </c>
      <c r="AF39" s="13">
        <v>137.30000000000001</v>
      </c>
      <c r="AG39" s="13">
        <v>139.69999999999999</v>
      </c>
      <c r="AH39" s="13">
        <v>123.6</v>
      </c>
      <c r="AI39" s="13">
        <v>111.8</v>
      </c>
      <c r="AJ39" s="13">
        <v>110.6</v>
      </c>
      <c r="AK39" s="13">
        <v>112.4</v>
      </c>
      <c r="AL39" s="13">
        <v>111.5</v>
      </c>
    </row>
    <row r="40" spans="1:38" ht="15.75" x14ac:dyDescent="0.25">
      <c r="A40" s="10" t="s">
        <v>42</v>
      </c>
      <c r="B40" s="11">
        <v>508.8</v>
      </c>
      <c r="C40" s="11">
        <v>528.5</v>
      </c>
      <c r="D40" s="11">
        <v>562.70000000000005</v>
      </c>
      <c r="E40" s="11">
        <v>591.20000000000005</v>
      </c>
      <c r="F40" s="11">
        <v>602</v>
      </c>
      <c r="G40" s="11">
        <v>643.70000000000005</v>
      </c>
      <c r="H40" s="11">
        <v>663.7</v>
      </c>
      <c r="I40" s="11">
        <v>673.6</v>
      </c>
      <c r="J40" s="11">
        <v>700.6</v>
      </c>
      <c r="K40" s="11">
        <v>740.5</v>
      </c>
      <c r="L40" s="11">
        <v>760.9</v>
      </c>
      <c r="M40" s="11"/>
      <c r="N40" s="10" t="s">
        <v>42</v>
      </c>
      <c r="O40" s="12">
        <v>44134</v>
      </c>
      <c r="P40" s="12">
        <v>45802</v>
      </c>
      <c r="Q40" s="12">
        <v>48738</v>
      </c>
      <c r="R40" s="12">
        <v>51183</v>
      </c>
      <c r="S40" s="12">
        <v>51988</v>
      </c>
      <c r="T40" s="12">
        <v>55456</v>
      </c>
      <c r="U40" s="12">
        <v>57106</v>
      </c>
      <c r="V40" s="12">
        <v>57873</v>
      </c>
      <c r="W40" s="12">
        <v>60059</v>
      </c>
      <c r="X40" s="12">
        <v>63398</v>
      </c>
      <c r="Y40" s="12">
        <v>65055</v>
      </c>
      <c r="Z40" s="13"/>
      <c r="AA40" s="10" t="s">
        <v>42</v>
      </c>
      <c r="AB40" s="13">
        <v>87.6</v>
      </c>
      <c r="AC40" s="13">
        <v>88.1</v>
      </c>
      <c r="AD40" s="13">
        <v>90</v>
      </c>
      <c r="AE40" s="13">
        <v>89.2</v>
      </c>
      <c r="AF40" s="13">
        <v>90</v>
      </c>
      <c r="AG40" s="13">
        <v>91.1</v>
      </c>
      <c r="AH40" s="13">
        <v>90.5</v>
      </c>
      <c r="AI40" s="13">
        <v>90.3</v>
      </c>
      <c r="AJ40" s="13">
        <v>89.2</v>
      </c>
      <c r="AK40" s="13">
        <v>89.7</v>
      </c>
      <c r="AL40" s="13">
        <v>89.1</v>
      </c>
    </row>
    <row r="41" spans="1:38" ht="15.75" x14ac:dyDescent="0.25">
      <c r="A41" s="10" t="s">
        <v>43</v>
      </c>
      <c r="B41" s="11">
        <v>158.9</v>
      </c>
      <c r="C41" s="11">
        <v>166.4</v>
      </c>
      <c r="D41" s="11">
        <v>180.6</v>
      </c>
      <c r="E41" s="11">
        <v>193.7</v>
      </c>
      <c r="F41" s="11">
        <v>197.5</v>
      </c>
      <c r="G41" s="11">
        <v>211.3</v>
      </c>
      <c r="H41" s="11">
        <v>203.6</v>
      </c>
      <c r="I41" s="11">
        <v>195.8</v>
      </c>
      <c r="J41" s="11">
        <v>205.6</v>
      </c>
      <c r="K41" s="11">
        <v>219.6</v>
      </c>
      <c r="L41" s="11">
        <v>223.5</v>
      </c>
      <c r="M41" s="11"/>
      <c r="N41" s="10" t="s">
        <v>43</v>
      </c>
      <c r="O41" s="12">
        <v>42733</v>
      </c>
      <c r="P41" s="12">
        <v>44268</v>
      </c>
      <c r="Q41" s="12">
        <v>47668</v>
      </c>
      <c r="R41" s="12">
        <v>50717</v>
      </c>
      <c r="S41" s="12">
        <v>51246</v>
      </c>
      <c r="T41" s="12">
        <v>54472</v>
      </c>
      <c r="U41" s="12">
        <v>52069</v>
      </c>
      <c r="V41" s="12">
        <v>49842</v>
      </c>
      <c r="W41" s="12">
        <v>52258</v>
      </c>
      <c r="X41" s="12">
        <v>55693</v>
      </c>
      <c r="Y41" s="12">
        <v>56439</v>
      </c>
      <c r="Z41" s="13"/>
      <c r="AA41" s="10" t="s">
        <v>43</v>
      </c>
      <c r="AB41" s="13">
        <v>84.8</v>
      </c>
      <c r="AC41" s="13">
        <v>85.1</v>
      </c>
      <c r="AD41" s="13">
        <v>88</v>
      </c>
      <c r="AE41" s="13">
        <v>88.4</v>
      </c>
      <c r="AF41" s="13">
        <v>88.7</v>
      </c>
      <c r="AG41" s="13">
        <v>89.5</v>
      </c>
      <c r="AH41" s="13">
        <v>82.5</v>
      </c>
      <c r="AI41" s="13">
        <v>77.8</v>
      </c>
      <c r="AJ41" s="13">
        <v>77.7</v>
      </c>
      <c r="AK41" s="13">
        <v>78.8</v>
      </c>
      <c r="AL41" s="13">
        <v>77.3</v>
      </c>
    </row>
    <row r="42" spans="1:38" ht="15.75" x14ac:dyDescent="0.25">
      <c r="A42" s="10" t="s">
        <v>44</v>
      </c>
      <c r="B42" s="11">
        <v>172.2</v>
      </c>
      <c r="C42" s="11">
        <v>175</v>
      </c>
      <c r="D42" s="11">
        <v>184.5</v>
      </c>
      <c r="E42" s="11">
        <v>192.7</v>
      </c>
      <c r="F42" s="11">
        <v>194.8</v>
      </c>
      <c r="G42" s="11">
        <v>207.6</v>
      </c>
      <c r="H42" s="11">
        <v>224.4</v>
      </c>
      <c r="I42" s="11">
        <v>237.1</v>
      </c>
      <c r="J42" s="11">
        <v>253.2</v>
      </c>
      <c r="K42" s="11">
        <v>269.89999999999998</v>
      </c>
      <c r="L42" s="11">
        <v>281.60000000000002</v>
      </c>
      <c r="M42" s="11"/>
      <c r="N42" s="10" t="s">
        <v>44</v>
      </c>
      <c r="O42" s="12">
        <v>45216</v>
      </c>
      <c r="P42" s="12">
        <v>45588</v>
      </c>
      <c r="Q42" s="12">
        <v>47650</v>
      </c>
      <c r="R42" s="12">
        <v>49409</v>
      </c>
      <c r="S42" s="12">
        <v>49632</v>
      </c>
      <c r="T42" s="12">
        <v>52343</v>
      </c>
      <c r="U42" s="12">
        <v>55835</v>
      </c>
      <c r="V42" s="12">
        <v>57927</v>
      </c>
      <c r="W42" s="12">
        <v>61055</v>
      </c>
      <c r="X42" s="12">
        <v>64513</v>
      </c>
      <c r="Y42" s="12">
        <v>66780</v>
      </c>
      <c r="Z42" s="13"/>
      <c r="AA42" s="10" t="s">
        <v>44</v>
      </c>
      <c r="AB42" s="13">
        <v>89.7</v>
      </c>
      <c r="AC42" s="13">
        <v>87.7</v>
      </c>
      <c r="AD42" s="13">
        <v>88</v>
      </c>
      <c r="AE42" s="13">
        <v>86.1</v>
      </c>
      <c r="AF42" s="13">
        <v>85.9</v>
      </c>
      <c r="AG42" s="13">
        <v>86</v>
      </c>
      <c r="AH42" s="13">
        <v>88.5</v>
      </c>
      <c r="AI42" s="13">
        <v>90.4</v>
      </c>
      <c r="AJ42" s="13">
        <v>90.7</v>
      </c>
      <c r="AK42" s="13">
        <v>91.2</v>
      </c>
      <c r="AL42" s="13">
        <v>91.5</v>
      </c>
    </row>
    <row r="43" spans="1:38" ht="15.75" x14ac:dyDescent="0.25">
      <c r="A43" s="10" t="s">
        <v>45</v>
      </c>
      <c r="B43" s="11">
        <v>636.4</v>
      </c>
      <c r="C43" s="11">
        <v>660.4</v>
      </c>
      <c r="D43" s="11">
        <v>688.9</v>
      </c>
      <c r="E43" s="11">
        <v>729.8</v>
      </c>
      <c r="F43" s="11">
        <v>737.2</v>
      </c>
      <c r="G43" s="11">
        <v>776.8</v>
      </c>
      <c r="H43" s="11">
        <v>805.9</v>
      </c>
      <c r="I43" s="11">
        <v>819.9</v>
      </c>
      <c r="J43" s="11">
        <v>848.1</v>
      </c>
      <c r="K43" s="11">
        <v>892.2</v>
      </c>
      <c r="L43" s="11">
        <v>922.1</v>
      </c>
      <c r="M43" s="11"/>
      <c r="N43" s="10" t="s">
        <v>45</v>
      </c>
      <c r="O43" s="12">
        <v>50240</v>
      </c>
      <c r="P43" s="12">
        <v>51951</v>
      </c>
      <c r="Q43" s="12">
        <v>54042</v>
      </c>
      <c r="R43" s="12">
        <v>57153</v>
      </c>
      <c r="S43" s="12">
        <v>57686</v>
      </c>
      <c r="T43" s="12">
        <v>60721</v>
      </c>
      <c r="U43" s="12">
        <v>63011</v>
      </c>
      <c r="V43" s="12">
        <v>64110</v>
      </c>
      <c r="W43" s="12">
        <v>66289</v>
      </c>
      <c r="X43" s="12">
        <v>69650</v>
      </c>
      <c r="Y43" s="12">
        <v>72044</v>
      </c>
      <c r="Z43" s="13"/>
      <c r="AA43" s="10" t="s">
        <v>45</v>
      </c>
      <c r="AB43" s="13">
        <v>99.7</v>
      </c>
      <c r="AC43" s="13">
        <v>99.9</v>
      </c>
      <c r="AD43" s="13">
        <v>99.8</v>
      </c>
      <c r="AE43" s="13">
        <v>99.6</v>
      </c>
      <c r="AF43" s="13">
        <v>99.9</v>
      </c>
      <c r="AG43" s="13">
        <v>99.8</v>
      </c>
      <c r="AH43" s="13">
        <v>99.8</v>
      </c>
      <c r="AI43" s="13">
        <v>100</v>
      </c>
      <c r="AJ43" s="13">
        <v>98.5</v>
      </c>
      <c r="AK43" s="13">
        <v>98.5</v>
      </c>
      <c r="AL43" s="13">
        <v>98.7</v>
      </c>
    </row>
    <row r="44" spans="1:38" ht="15.75" x14ac:dyDescent="0.25">
      <c r="A44" s="14" t="s">
        <v>46</v>
      </c>
      <c r="B44" s="15">
        <v>55.2</v>
      </c>
      <c r="C44" s="15">
        <v>57</v>
      </c>
      <c r="D44" s="15">
        <v>59.2</v>
      </c>
      <c r="E44" s="15">
        <v>61.9</v>
      </c>
      <c r="F44" s="15">
        <v>62.2</v>
      </c>
      <c r="G44" s="15">
        <v>64.8</v>
      </c>
      <c r="H44" s="15">
        <v>67.2</v>
      </c>
      <c r="I44" s="15">
        <v>68.5</v>
      </c>
      <c r="J44" s="15">
        <v>70.599999999999994</v>
      </c>
      <c r="K44" s="15">
        <v>73</v>
      </c>
      <c r="L44" s="15">
        <v>76.3</v>
      </c>
      <c r="M44" s="11"/>
      <c r="N44" s="14" t="s">
        <v>46</v>
      </c>
      <c r="O44" s="16">
        <v>52427</v>
      </c>
      <c r="P44" s="16">
        <v>54067</v>
      </c>
      <c r="Q44" s="16">
        <v>56218</v>
      </c>
      <c r="R44" s="16">
        <v>58703</v>
      </c>
      <c r="S44" s="16">
        <v>58887</v>
      </c>
      <c r="T44" s="16">
        <v>61343</v>
      </c>
      <c r="U44" s="16">
        <v>63559</v>
      </c>
      <c r="V44" s="16">
        <v>64718</v>
      </c>
      <c r="W44" s="16">
        <v>66815</v>
      </c>
      <c r="X44" s="16">
        <v>68925</v>
      </c>
      <c r="Y44" s="16">
        <v>72102</v>
      </c>
      <c r="Z44" s="18"/>
      <c r="AA44" s="14" t="s">
        <v>46</v>
      </c>
      <c r="AB44" s="17">
        <v>104</v>
      </c>
      <c r="AC44" s="17">
        <v>104</v>
      </c>
      <c r="AD44" s="17">
        <v>103.8</v>
      </c>
      <c r="AE44" s="17">
        <v>102.3</v>
      </c>
      <c r="AF44" s="17">
        <v>102</v>
      </c>
      <c r="AG44" s="17">
        <v>100.8</v>
      </c>
      <c r="AH44" s="17">
        <v>100.7</v>
      </c>
      <c r="AI44" s="17">
        <v>101</v>
      </c>
      <c r="AJ44" s="17">
        <v>99.3</v>
      </c>
      <c r="AK44" s="17">
        <v>97.5</v>
      </c>
      <c r="AL44" s="17">
        <v>98.7</v>
      </c>
    </row>
    <row r="45" spans="1:38" ht="15.75" x14ac:dyDescent="0.25">
      <c r="A45" s="10" t="s">
        <v>47</v>
      </c>
      <c r="B45" s="11">
        <v>175.1</v>
      </c>
      <c r="C45" s="11">
        <v>179.2</v>
      </c>
      <c r="D45" s="11">
        <v>187.6</v>
      </c>
      <c r="E45" s="11">
        <v>197.6</v>
      </c>
      <c r="F45" s="11">
        <v>202.3</v>
      </c>
      <c r="G45" s="11">
        <v>215.9</v>
      </c>
      <c r="H45" s="11">
        <v>230.9</v>
      </c>
      <c r="I45" s="11">
        <v>242.1</v>
      </c>
      <c r="J45" s="11">
        <v>255.6</v>
      </c>
      <c r="K45" s="11">
        <v>269.7</v>
      </c>
      <c r="L45" s="11">
        <v>283.5</v>
      </c>
      <c r="M45" s="11"/>
      <c r="N45" s="10" t="s">
        <v>47</v>
      </c>
      <c r="O45" s="12">
        <v>38157</v>
      </c>
      <c r="P45" s="12">
        <v>38646</v>
      </c>
      <c r="Q45" s="12">
        <v>40158</v>
      </c>
      <c r="R45" s="12">
        <v>41883</v>
      </c>
      <c r="S45" s="12">
        <v>42449</v>
      </c>
      <c r="T45" s="12">
        <v>44730</v>
      </c>
      <c r="U45" s="12">
        <v>47169</v>
      </c>
      <c r="V45" s="12">
        <v>48787</v>
      </c>
      <c r="W45" s="12">
        <v>50847</v>
      </c>
      <c r="X45" s="12">
        <v>52960</v>
      </c>
      <c r="Y45" s="12">
        <v>54962</v>
      </c>
      <c r="Z45" s="13"/>
      <c r="AA45" s="10" t="s">
        <v>47</v>
      </c>
      <c r="AB45" s="13">
        <v>75.7</v>
      </c>
      <c r="AC45" s="13">
        <v>74.3</v>
      </c>
      <c r="AD45" s="13">
        <v>74.099999999999994</v>
      </c>
      <c r="AE45" s="13">
        <v>73</v>
      </c>
      <c r="AF45" s="13">
        <v>73.5</v>
      </c>
      <c r="AG45" s="13">
        <v>73.5</v>
      </c>
      <c r="AH45" s="13">
        <v>74.7</v>
      </c>
      <c r="AI45" s="13">
        <v>76.099999999999994</v>
      </c>
      <c r="AJ45" s="13">
        <v>75.599999999999994</v>
      </c>
      <c r="AK45" s="13">
        <v>74.900000000000006</v>
      </c>
      <c r="AL45" s="13">
        <v>75.3</v>
      </c>
    </row>
    <row r="46" spans="1:38" ht="15.75" x14ac:dyDescent="0.25">
      <c r="A46" s="10" t="s">
        <v>48</v>
      </c>
      <c r="B46" s="11">
        <v>40.5</v>
      </c>
      <c r="C46" s="11">
        <v>42</v>
      </c>
      <c r="D46" s="11">
        <v>46.7</v>
      </c>
      <c r="E46" s="11">
        <v>50</v>
      </c>
      <c r="F46" s="11">
        <v>49.9</v>
      </c>
      <c r="G46" s="11">
        <v>52.3</v>
      </c>
      <c r="H46" s="11">
        <v>54.2</v>
      </c>
      <c r="I46" s="11">
        <v>55</v>
      </c>
      <c r="J46" s="11">
        <v>57</v>
      </c>
      <c r="K46" s="11">
        <v>60.5</v>
      </c>
      <c r="L46" s="11">
        <v>62</v>
      </c>
      <c r="M46" s="11"/>
      <c r="N46" s="10" t="s">
        <v>48</v>
      </c>
      <c r="O46" s="12">
        <v>50143</v>
      </c>
      <c r="P46" s="12">
        <v>51465</v>
      </c>
      <c r="Q46" s="12">
        <v>56633</v>
      </c>
      <c r="R46" s="12">
        <v>60019</v>
      </c>
      <c r="S46" s="12">
        <v>59194</v>
      </c>
      <c r="T46" s="12">
        <v>61519</v>
      </c>
      <c r="U46" s="12">
        <v>63455</v>
      </c>
      <c r="V46" s="12">
        <v>63663</v>
      </c>
      <c r="W46" s="12">
        <v>65262</v>
      </c>
      <c r="X46" s="12">
        <v>68814</v>
      </c>
      <c r="Y46" s="12">
        <v>69934</v>
      </c>
      <c r="Z46" s="13"/>
      <c r="AA46" s="10" t="s">
        <v>48</v>
      </c>
      <c r="AB46" s="13">
        <v>99.5</v>
      </c>
      <c r="AC46" s="13">
        <v>99</v>
      </c>
      <c r="AD46" s="13">
        <v>104.6</v>
      </c>
      <c r="AE46" s="13">
        <v>104.6</v>
      </c>
      <c r="AF46" s="13">
        <v>102.5</v>
      </c>
      <c r="AG46" s="13">
        <v>101.1</v>
      </c>
      <c r="AH46" s="13">
        <v>100.5</v>
      </c>
      <c r="AI46" s="13">
        <v>99.3</v>
      </c>
      <c r="AJ46" s="13">
        <v>97</v>
      </c>
      <c r="AK46" s="13">
        <v>97.3</v>
      </c>
      <c r="AL46" s="13">
        <v>95.8</v>
      </c>
    </row>
    <row r="47" spans="1:38" ht="15.75" x14ac:dyDescent="0.25">
      <c r="A47" s="10" t="s">
        <v>49</v>
      </c>
      <c r="B47" s="11">
        <v>265.10000000000002</v>
      </c>
      <c r="C47" s="11">
        <v>272.3</v>
      </c>
      <c r="D47" s="11">
        <v>286.89999999999998</v>
      </c>
      <c r="E47" s="11">
        <v>309.2</v>
      </c>
      <c r="F47" s="11">
        <v>313.10000000000002</v>
      </c>
      <c r="G47" s="11">
        <v>328.6</v>
      </c>
      <c r="H47" s="11">
        <v>349.6</v>
      </c>
      <c r="I47" s="11">
        <v>360.6</v>
      </c>
      <c r="J47" s="11">
        <v>375.8</v>
      </c>
      <c r="K47" s="11">
        <v>396.9</v>
      </c>
      <c r="L47" s="11">
        <v>411.5</v>
      </c>
      <c r="M47" s="11"/>
      <c r="N47" s="10" t="s">
        <v>49</v>
      </c>
      <c r="O47" s="12">
        <v>42037</v>
      </c>
      <c r="P47" s="12">
        <v>42848</v>
      </c>
      <c r="Q47" s="12">
        <v>44830</v>
      </c>
      <c r="R47" s="12">
        <v>47901</v>
      </c>
      <c r="S47" s="12">
        <v>48185</v>
      </c>
      <c r="T47" s="12">
        <v>50212</v>
      </c>
      <c r="U47" s="12">
        <v>53010</v>
      </c>
      <c r="V47" s="12">
        <v>54218</v>
      </c>
      <c r="W47" s="12">
        <v>55966</v>
      </c>
      <c r="X47" s="12">
        <v>58560</v>
      </c>
      <c r="Y47" s="12">
        <v>60248</v>
      </c>
      <c r="Z47" s="13"/>
      <c r="AA47" s="10" t="s">
        <v>49</v>
      </c>
      <c r="AB47" s="13">
        <v>83.4</v>
      </c>
      <c r="AC47" s="13">
        <v>82.4</v>
      </c>
      <c r="AD47" s="13">
        <v>82.8</v>
      </c>
      <c r="AE47" s="13">
        <v>83.5</v>
      </c>
      <c r="AF47" s="13">
        <v>83.4</v>
      </c>
      <c r="AG47" s="13">
        <v>82.5</v>
      </c>
      <c r="AH47" s="13">
        <v>84</v>
      </c>
      <c r="AI47" s="13">
        <v>84.6</v>
      </c>
      <c r="AJ47" s="13">
        <v>83.2</v>
      </c>
      <c r="AK47" s="13">
        <v>82.8</v>
      </c>
      <c r="AL47" s="13">
        <v>82.5</v>
      </c>
    </row>
    <row r="48" spans="1:38" ht="15.75" x14ac:dyDescent="0.25">
      <c r="A48" s="10" t="s">
        <v>50</v>
      </c>
      <c r="B48" s="11">
        <v>1220.5999999999999</v>
      </c>
      <c r="C48" s="11">
        <v>1298.9000000000001</v>
      </c>
      <c r="D48" s="11">
        <v>1416.5</v>
      </c>
      <c r="E48" s="11">
        <v>1535.4</v>
      </c>
      <c r="F48" s="11">
        <v>1589.6</v>
      </c>
      <c r="G48" s="11">
        <v>1687</v>
      </c>
      <c r="H48" s="11">
        <v>1685.4</v>
      </c>
      <c r="I48" s="11">
        <v>1670.2</v>
      </c>
      <c r="J48" s="11">
        <v>1817.4</v>
      </c>
      <c r="K48" s="11">
        <v>1949.2</v>
      </c>
      <c r="L48" s="11">
        <v>2007.1</v>
      </c>
      <c r="M48" s="11"/>
      <c r="N48" s="10" t="s">
        <v>50</v>
      </c>
      <c r="O48" s="12">
        <v>49216</v>
      </c>
      <c r="P48" s="12">
        <v>51458</v>
      </c>
      <c r="Q48" s="12">
        <v>55233</v>
      </c>
      <c r="R48" s="12">
        <v>58865</v>
      </c>
      <c r="S48" s="12">
        <v>60032</v>
      </c>
      <c r="T48" s="12">
        <v>62568</v>
      </c>
      <c r="U48" s="12">
        <v>61359</v>
      </c>
      <c r="V48" s="12">
        <v>59833</v>
      </c>
      <c r="W48" s="12">
        <v>64238</v>
      </c>
      <c r="X48" s="12">
        <v>68095</v>
      </c>
      <c r="Y48" s="12">
        <v>69241</v>
      </c>
      <c r="Z48" s="13"/>
      <c r="AA48" s="10" t="s">
        <v>50</v>
      </c>
      <c r="AB48" s="13">
        <v>97.6</v>
      </c>
      <c r="AC48" s="13">
        <v>99</v>
      </c>
      <c r="AD48" s="13">
        <v>102</v>
      </c>
      <c r="AE48" s="13">
        <v>102.6</v>
      </c>
      <c r="AF48" s="13">
        <v>103.9</v>
      </c>
      <c r="AG48" s="13">
        <v>102.8</v>
      </c>
      <c r="AH48" s="13">
        <v>97.2</v>
      </c>
      <c r="AI48" s="13">
        <v>93.3</v>
      </c>
      <c r="AJ48" s="13">
        <v>95.5</v>
      </c>
      <c r="AK48" s="13">
        <v>96.3</v>
      </c>
      <c r="AL48" s="13">
        <v>94.8</v>
      </c>
    </row>
    <row r="49" spans="1:38" ht="15.75" x14ac:dyDescent="0.25">
      <c r="A49" s="10" t="s">
        <v>51</v>
      </c>
      <c r="B49" s="11">
        <v>118.7</v>
      </c>
      <c r="C49" s="11">
        <v>123.4</v>
      </c>
      <c r="D49" s="11">
        <v>131.30000000000001</v>
      </c>
      <c r="E49" s="11">
        <v>139.30000000000001</v>
      </c>
      <c r="F49" s="11">
        <v>142.4</v>
      </c>
      <c r="G49" s="11">
        <v>151.4</v>
      </c>
      <c r="H49" s="11">
        <v>160.5</v>
      </c>
      <c r="I49" s="11">
        <v>170</v>
      </c>
      <c r="J49" s="11">
        <v>183</v>
      </c>
      <c r="K49" s="11">
        <v>198.2</v>
      </c>
      <c r="L49" s="11">
        <v>212.7</v>
      </c>
      <c r="M49" s="11"/>
      <c r="N49" s="10" t="s">
        <v>51</v>
      </c>
      <c r="O49" s="12">
        <v>43601</v>
      </c>
      <c r="P49" s="12">
        <v>44445</v>
      </c>
      <c r="Q49" s="12">
        <v>46640</v>
      </c>
      <c r="R49" s="12">
        <v>48813</v>
      </c>
      <c r="S49" s="12">
        <v>49109</v>
      </c>
      <c r="T49" s="12">
        <v>51522</v>
      </c>
      <c r="U49" s="12">
        <v>53786</v>
      </c>
      <c r="V49" s="12">
        <v>55858</v>
      </c>
      <c r="W49" s="12">
        <v>58971</v>
      </c>
      <c r="X49" s="12">
        <v>62830</v>
      </c>
      <c r="Y49" s="12">
        <v>66386</v>
      </c>
      <c r="Z49" s="13"/>
      <c r="AA49" s="10" t="s">
        <v>51</v>
      </c>
      <c r="AB49" s="13">
        <v>86.5</v>
      </c>
      <c r="AC49" s="13">
        <v>85.5</v>
      </c>
      <c r="AD49" s="13">
        <v>86.1</v>
      </c>
      <c r="AE49" s="13">
        <v>85.1</v>
      </c>
      <c r="AF49" s="13">
        <v>85</v>
      </c>
      <c r="AG49" s="13">
        <v>84.7</v>
      </c>
      <c r="AH49" s="13">
        <v>85.2</v>
      </c>
      <c r="AI49" s="13">
        <v>87.1</v>
      </c>
      <c r="AJ49" s="13">
        <v>87.6</v>
      </c>
      <c r="AK49" s="13">
        <v>88.9</v>
      </c>
      <c r="AL49" s="13">
        <v>90.9</v>
      </c>
    </row>
    <row r="50" spans="1:38" ht="15.75" x14ac:dyDescent="0.25">
      <c r="A50" s="10" t="s">
        <v>52</v>
      </c>
      <c r="B50" s="11">
        <v>29.1</v>
      </c>
      <c r="C50" s="11">
        <v>30.2</v>
      </c>
      <c r="D50" s="11">
        <v>31.9</v>
      </c>
      <c r="E50" s="11">
        <v>33.5</v>
      </c>
      <c r="F50" s="11">
        <v>33.1</v>
      </c>
      <c r="G50" s="11">
        <v>34.6</v>
      </c>
      <c r="H50" s="11">
        <v>35.9</v>
      </c>
      <c r="I50" s="11">
        <v>36.6</v>
      </c>
      <c r="J50" s="11">
        <v>37.799999999999997</v>
      </c>
      <c r="K50" s="11">
        <v>38.9</v>
      </c>
      <c r="L50" s="11">
        <v>40.4</v>
      </c>
      <c r="M50" s="11"/>
      <c r="N50" s="10" t="s">
        <v>52</v>
      </c>
      <c r="O50" s="12">
        <v>46557</v>
      </c>
      <c r="P50" s="12">
        <v>48190</v>
      </c>
      <c r="Q50" s="12">
        <v>50919</v>
      </c>
      <c r="R50" s="12">
        <v>53411</v>
      </c>
      <c r="S50" s="12">
        <v>52794</v>
      </c>
      <c r="T50" s="12">
        <v>55374</v>
      </c>
      <c r="U50" s="12">
        <v>57325</v>
      </c>
      <c r="V50" s="12">
        <v>58693</v>
      </c>
      <c r="W50" s="12">
        <v>60470</v>
      </c>
      <c r="X50" s="12">
        <v>62277</v>
      </c>
      <c r="Y50" s="12">
        <v>64722</v>
      </c>
      <c r="Z50" s="13"/>
      <c r="AA50" s="10" t="s">
        <v>52</v>
      </c>
      <c r="AB50" s="13">
        <v>92.4</v>
      </c>
      <c r="AC50" s="13">
        <v>92.7</v>
      </c>
      <c r="AD50" s="13">
        <v>94</v>
      </c>
      <c r="AE50" s="13">
        <v>93.1</v>
      </c>
      <c r="AF50" s="13">
        <v>91.4</v>
      </c>
      <c r="AG50" s="13">
        <v>91</v>
      </c>
      <c r="AH50" s="13">
        <v>90.8</v>
      </c>
      <c r="AI50" s="13">
        <v>91.6</v>
      </c>
      <c r="AJ50" s="13">
        <v>89.9</v>
      </c>
      <c r="AK50" s="13">
        <v>88.1</v>
      </c>
      <c r="AL50" s="13">
        <v>88.6</v>
      </c>
    </row>
    <row r="51" spans="1:38" ht="15.75" x14ac:dyDescent="0.25">
      <c r="A51" s="10" t="s">
        <v>53</v>
      </c>
      <c r="B51" s="11">
        <v>452.8</v>
      </c>
      <c r="C51" s="11">
        <v>469.9</v>
      </c>
      <c r="D51" s="11">
        <v>488.4</v>
      </c>
      <c r="E51" s="11">
        <v>510.7</v>
      </c>
      <c r="F51" s="11">
        <v>510</v>
      </c>
      <c r="G51" s="11">
        <v>531.6</v>
      </c>
      <c r="H51" s="11">
        <v>555.20000000000005</v>
      </c>
      <c r="I51" s="11">
        <v>569.4</v>
      </c>
      <c r="J51" s="11">
        <v>593.4</v>
      </c>
      <c r="K51" s="11">
        <v>620.4</v>
      </c>
      <c r="L51" s="11">
        <v>646.9</v>
      </c>
      <c r="M51" s="11"/>
      <c r="N51" s="10" t="s">
        <v>53</v>
      </c>
      <c r="O51" s="12">
        <v>57124</v>
      </c>
      <c r="P51" s="12">
        <v>58562</v>
      </c>
      <c r="Q51" s="12">
        <v>60284</v>
      </c>
      <c r="R51" s="12">
        <v>62382</v>
      </c>
      <c r="S51" s="12">
        <v>61775</v>
      </c>
      <c r="T51" s="12">
        <v>63933</v>
      </c>
      <c r="U51" s="12">
        <v>66359</v>
      </c>
      <c r="V51" s="12">
        <v>67640</v>
      </c>
      <c r="W51" s="12">
        <v>70051</v>
      </c>
      <c r="X51" s="12">
        <v>72900</v>
      </c>
      <c r="Y51" s="12">
        <v>75599</v>
      </c>
      <c r="Z51" s="13"/>
      <c r="AA51" s="10" t="s">
        <v>53</v>
      </c>
      <c r="AB51" s="13">
        <v>113.3</v>
      </c>
      <c r="AC51" s="13">
        <v>112.6</v>
      </c>
      <c r="AD51" s="13">
        <v>111.3</v>
      </c>
      <c r="AE51" s="13">
        <v>108.7</v>
      </c>
      <c r="AF51" s="13">
        <v>107</v>
      </c>
      <c r="AG51" s="13">
        <v>105.1</v>
      </c>
      <c r="AH51" s="13">
        <v>105.1</v>
      </c>
      <c r="AI51" s="13">
        <v>105.5</v>
      </c>
      <c r="AJ51" s="13">
        <v>104.1</v>
      </c>
      <c r="AK51" s="13">
        <v>103.1</v>
      </c>
      <c r="AL51" s="13">
        <v>103.5</v>
      </c>
    </row>
    <row r="52" spans="1:38" ht="15.75" x14ac:dyDescent="0.25">
      <c r="A52" s="10" t="s">
        <v>54</v>
      </c>
      <c r="B52" s="11">
        <v>378.7</v>
      </c>
      <c r="C52" s="11">
        <v>390.1</v>
      </c>
      <c r="D52" s="11">
        <v>410.3</v>
      </c>
      <c r="E52" s="11">
        <v>448.1</v>
      </c>
      <c r="F52" s="11">
        <v>457.1</v>
      </c>
      <c r="G52" s="11">
        <v>493.9</v>
      </c>
      <c r="H52" s="11">
        <v>529.5</v>
      </c>
      <c r="I52" s="11">
        <v>557.4</v>
      </c>
      <c r="J52" s="11">
        <v>597.29999999999995</v>
      </c>
      <c r="K52" s="11">
        <v>647.20000000000005</v>
      </c>
      <c r="L52" s="11">
        <v>687.5</v>
      </c>
      <c r="M52" s="11"/>
      <c r="N52" s="10" t="s">
        <v>54</v>
      </c>
      <c r="O52" s="12">
        <v>56803</v>
      </c>
      <c r="P52" s="12">
        <v>57845</v>
      </c>
      <c r="Q52" s="12">
        <v>60101</v>
      </c>
      <c r="R52" s="12">
        <v>64948</v>
      </c>
      <c r="S52" s="12">
        <v>65618</v>
      </c>
      <c r="T52" s="12">
        <v>69986</v>
      </c>
      <c r="U52" s="12">
        <v>73877</v>
      </c>
      <c r="V52" s="12">
        <v>76355</v>
      </c>
      <c r="W52" s="12">
        <v>80416</v>
      </c>
      <c r="X52" s="12">
        <v>85990</v>
      </c>
      <c r="Y52" s="12">
        <v>90299</v>
      </c>
      <c r="Z52" s="13"/>
      <c r="AA52" s="10" t="s">
        <v>54</v>
      </c>
      <c r="AB52" s="13">
        <v>112.7</v>
      </c>
      <c r="AC52" s="13">
        <v>111.3</v>
      </c>
      <c r="AD52" s="13">
        <v>111</v>
      </c>
      <c r="AE52" s="13">
        <v>113.2</v>
      </c>
      <c r="AF52" s="13">
        <v>113.6</v>
      </c>
      <c r="AG52" s="13">
        <v>115</v>
      </c>
      <c r="AH52" s="13">
        <v>117.1</v>
      </c>
      <c r="AI52" s="13">
        <v>119.1</v>
      </c>
      <c r="AJ52" s="13">
        <v>119.5</v>
      </c>
      <c r="AK52" s="13">
        <v>121.6</v>
      </c>
      <c r="AL52" s="13">
        <v>123.7</v>
      </c>
    </row>
    <row r="53" spans="1:38" ht="15.75" x14ac:dyDescent="0.25">
      <c r="A53" s="10" t="s">
        <v>55</v>
      </c>
      <c r="B53" s="11">
        <v>72.400000000000006</v>
      </c>
      <c r="C53" s="11">
        <v>74.3</v>
      </c>
      <c r="D53" s="11">
        <v>78.3</v>
      </c>
      <c r="E53" s="11">
        <v>79.8</v>
      </c>
      <c r="F53" s="11">
        <v>80.599999999999994</v>
      </c>
      <c r="G53" s="11">
        <v>82.3</v>
      </c>
      <c r="H53" s="11">
        <v>82.1</v>
      </c>
      <c r="I53" s="11">
        <v>81.2</v>
      </c>
      <c r="J53" s="11">
        <v>84.6</v>
      </c>
      <c r="K53" s="11">
        <v>89.8</v>
      </c>
      <c r="L53" s="11">
        <v>91.8</v>
      </c>
      <c r="M53" s="11"/>
      <c r="N53" s="10" t="s">
        <v>55</v>
      </c>
      <c r="O53" s="12">
        <v>39191</v>
      </c>
      <c r="P53" s="12">
        <v>40069</v>
      </c>
      <c r="Q53" s="12">
        <v>42194</v>
      </c>
      <c r="R53" s="12">
        <v>42970</v>
      </c>
      <c r="S53" s="12">
        <v>43440</v>
      </c>
      <c r="T53" s="12">
        <v>44454</v>
      </c>
      <c r="U53" s="12">
        <v>44541</v>
      </c>
      <c r="V53" s="12">
        <v>44321</v>
      </c>
      <c r="W53" s="12">
        <v>46512</v>
      </c>
      <c r="X53" s="12">
        <v>49741</v>
      </c>
      <c r="Y53" s="12">
        <v>51119</v>
      </c>
      <c r="Z53" s="13"/>
      <c r="AA53" s="10" t="s">
        <v>55</v>
      </c>
      <c r="AB53" s="13">
        <v>77.7</v>
      </c>
      <c r="AC53" s="13">
        <v>77.099999999999994</v>
      </c>
      <c r="AD53" s="13">
        <v>77.900000000000006</v>
      </c>
      <c r="AE53" s="13">
        <v>74.900000000000006</v>
      </c>
      <c r="AF53" s="13">
        <v>75.2</v>
      </c>
      <c r="AG53" s="13">
        <v>73.099999999999994</v>
      </c>
      <c r="AH53" s="13">
        <v>70.599999999999994</v>
      </c>
      <c r="AI53" s="13">
        <v>69.099999999999994</v>
      </c>
      <c r="AJ53" s="13">
        <v>69.099999999999994</v>
      </c>
      <c r="AK53" s="13">
        <v>70.400000000000006</v>
      </c>
      <c r="AL53" s="13">
        <v>70</v>
      </c>
    </row>
    <row r="54" spans="1:38" ht="15.75" x14ac:dyDescent="0.25">
      <c r="A54" s="10" t="s">
        <v>56</v>
      </c>
      <c r="B54" s="11">
        <v>266.5</v>
      </c>
      <c r="C54" s="11">
        <v>275.60000000000002</v>
      </c>
      <c r="D54" s="11">
        <v>290.60000000000002</v>
      </c>
      <c r="E54" s="11">
        <v>307.60000000000002</v>
      </c>
      <c r="F54" s="11">
        <v>310.2</v>
      </c>
      <c r="G54" s="11">
        <v>327.39999999999998</v>
      </c>
      <c r="H54" s="11">
        <v>342.8</v>
      </c>
      <c r="I54" s="11">
        <v>350.2</v>
      </c>
      <c r="J54" s="11">
        <v>361.1</v>
      </c>
      <c r="K54" s="11">
        <v>381.2</v>
      </c>
      <c r="L54" s="11">
        <v>396.1</v>
      </c>
      <c r="M54" s="11"/>
      <c r="N54" s="10" t="s">
        <v>56</v>
      </c>
      <c r="O54" s="12">
        <v>47005</v>
      </c>
      <c r="P54" s="12">
        <v>48439</v>
      </c>
      <c r="Q54" s="12">
        <v>50935</v>
      </c>
      <c r="R54" s="12">
        <v>53763</v>
      </c>
      <c r="S54" s="12">
        <v>54059</v>
      </c>
      <c r="T54" s="12">
        <v>56904</v>
      </c>
      <c r="U54" s="12">
        <v>59481</v>
      </c>
      <c r="V54" s="12">
        <v>60630</v>
      </c>
      <c r="W54" s="12">
        <v>62336</v>
      </c>
      <c r="X54" s="12">
        <v>65618</v>
      </c>
      <c r="Y54" s="12">
        <v>67999</v>
      </c>
      <c r="Z54" s="13"/>
      <c r="AA54" s="10" t="s">
        <v>56</v>
      </c>
      <c r="AB54" s="13">
        <v>93.3</v>
      </c>
      <c r="AC54" s="13">
        <v>93.2</v>
      </c>
      <c r="AD54" s="13">
        <v>94</v>
      </c>
      <c r="AE54" s="13">
        <v>93.7</v>
      </c>
      <c r="AF54" s="13">
        <v>93.6</v>
      </c>
      <c r="AG54" s="13">
        <v>93.5</v>
      </c>
      <c r="AH54" s="13">
        <v>94.2</v>
      </c>
      <c r="AI54" s="13">
        <v>94.6</v>
      </c>
      <c r="AJ54" s="13">
        <v>92.6</v>
      </c>
      <c r="AK54" s="13">
        <v>92.8</v>
      </c>
      <c r="AL54" s="13">
        <v>93.1</v>
      </c>
    </row>
    <row r="55" spans="1:38" ht="15.75" x14ac:dyDescent="0.25">
      <c r="A55" s="20" t="s">
        <v>57</v>
      </c>
      <c r="B55" s="15">
        <v>38.799999999999997</v>
      </c>
      <c r="C55" s="15">
        <v>41.1</v>
      </c>
      <c r="D55" s="15">
        <v>43.7</v>
      </c>
      <c r="E55" s="15">
        <v>52.2</v>
      </c>
      <c r="F55" s="15">
        <v>45.2</v>
      </c>
      <c r="G55" s="15">
        <v>46.2</v>
      </c>
      <c r="H55" s="15">
        <v>44.3</v>
      </c>
      <c r="I55" s="15">
        <v>41.4</v>
      </c>
      <c r="J55" s="15">
        <v>44.8</v>
      </c>
      <c r="K55" s="15">
        <v>47</v>
      </c>
      <c r="L55" s="15">
        <v>48.1</v>
      </c>
      <c r="M55" s="11"/>
      <c r="N55" s="20" t="s">
        <v>57</v>
      </c>
      <c r="O55" s="16">
        <v>69352</v>
      </c>
      <c r="P55" s="16">
        <v>72803</v>
      </c>
      <c r="Q55" s="16">
        <v>76933</v>
      </c>
      <c r="R55" s="16">
        <v>90589</v>
      </c>
      <c r="S55" s="16">
        <v>77622</v>
      </c>
      <c r="T55" s="16">
        <v>79141</v>
      </c>
      <c r="U55" s="16">
        <v>75592</v>
      </c>
      <c r="V55" s="16">
        <v>70720</v>
      </c>
      <c r="W55" s="16">
        <v>77218</v>
      </c>
      <c r="X55" s="16">
        <v>81084</v>
      </c>
      <c r="Y55" s="16">
        <v>82977</v>
      </c>
      <c r="Z55" s="13"/>
      <c r="AA55" s="20" t="s">
        <v>57</v>
      </c>
      <c r="AB55" s="17">
        <v>137.6</v>
      </c>
      <c r="AC55" s="17">
        <v>140</v>
      </c>
      <c r="AD55" s="17">
        <v>142</v>
      </c>
      <c r="AE55" s="17">
        <v>157.9</v>
      </c>
      <c r="AF55" s="17">
        <v>134.4</v>
      </c>
      <c r="AG55" s="17">
        <v>130.1</v>
      </c>
      <c r="AH55" s="17">
        <v>119.8</v>
      </c>
      <c r="AI55" s="17">
        <v>110.3</v>
      </c>
      <c r="AJ55" s="17">
        <v>114.7</v>
      </c>
      <c r="AK55" s="17">
        <v>114.7</v>
      </c>
      <c r="AL55" s="17">
        <v>113.6</v>
      </c>
    </row>
    <row r="56" spans="1:38" ht="15.75" x14ac:dyDescent="0.25">
      <c r="A56" s="3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1"/>
      <c r="N56" s="3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  <c r="AA56" s="3"/>
      <c r="AB56" s="13" t="s">
        <v>58</v>
      </c>
      <c r="AC56" s="13" t="s">
        <v>58</v>
      </c>
      <c r="AD56" s="13" t="s">
        <v>58</v>
      </c>
      <c r="AE56" s="13" t="s">
        <v>58</v>
      </c>
      <c r="AF56" s="13" t="s">
        <v>58</v>
      </c>
      <c r="AG56" s="13" t="s">
        <v>58</v>
      </c>
      <c r="AH56" s="13" t="s">
        <v>58</v>
      </c>
      <c r="AI56" s="13"/>
      <c r="AJ56" s="13"/>
      <c r="AK56" s="13"/>
    </row>
    <row r="57" spans="1:38" ht="16.5" thickBot="1" x14ac:dyDescent="0.3">
      <c r="A57" s="22" t="s">
        <v>59</v>
      </c>
      <c r="B57" s="23">
        <v>15463.6</v>
      </c>
      <c r="C57" s="23">
        <v>16081.7</v>
      </c>
      <c r="D57" s="23">
        <v>16875.3</v>
      </c>
      <c r="E57" s="23">
        <v>18012.3</v>
      </c>
      <c r="F57" s="23">
        <v>18255</v>
      </c>
      <c r="G57" s="23">
        <v>19371.400000000001</v>
      </c>
      <c r="H57" s="23">
        <v>20241.900000000001</v>
      </c>
      <c r="I57" s="23">
        <v>20708.5</v>
      </c>
      <c r="J57" s="23">
        <v>21878.799999999999</v>
      </c>
      <c r="K57" s="23">
        <v>23109.1</v>
      </c>
      <c r="L57" s="23">
        <v>23973.599999999999</v>
      </c>
      <c r="M57" s="11"/>
      <c r="N57" s="22" t="s">
        <v>59</v>
      </c>
      <c r="O57" s="24">
        <v>50408</v>
      </c>
      <c r="P57" s="24">
        <v>51989</v>
      </c>
      <c r="Q57" s="24">
        <v>54160</v>
      </c>
      <c r="R57" s="24">
        <v>57386</v>
      </c>
      <c r="S57" s="24">
        <v>57758</v>
      </c>
      <c r="T57" s="24">
        <v>60842</v>
      </c>
      <c r="U57" s="24">
        <v>63110</v>
      </c>
      <c r="V57" s="24">
        <v>64099</v>
      </c>
      <c r="W57" s="24">
        <v>67294</v>
      </c>
      <c r="X57" s="24">
        <v>70705</v>
      </c>
      <c r="Y57" s="24">
        <v>73017</v>
      </c>
      <c r="Z57" s="25"/>
      <c r="AA57" s="22" t="s">
        <v>59</v>
      </c>
      <c r="AB57" s="26">
        <v>100</v>
      </c>
      <c r="AC57" s="26">
        <v>100</v>
      </c>
      <c r="AD57" s="26">
        <v>100</v>
      </c>
      <c r="AE57" s="26">
        <v>100</v>
      </c>
      <c r="AF57" s="26">
        <v>100</v>
      </c>
      <c r="AG57" s="26">
        <v>100</v>
      </c>
      <c r="AH57" s="26">
        <v>100</v>
      </c>
      <c r="AI57" s="26">
        <v>100</v>
      </c>
      <c r="AJ57" s="26">
        <v>100</v>
      </c>
      <c r="AK57" s="26">
        <v>100</v>
      </c>
      <c r="AL57" s="26">
        <v>100</v>
      </c>
    </row>
    <row r="58" spans="1:38" ht="13.5" thickTop="1" x14ac:dyDescent="0.2">
      <c r="B58" s="27"/>
      <c r="C58" s="27"/>
      <c r="D58" s="27"/>
      <c r="E58" s="27"/>
      <c r="F58" s="27"/>
      <c r="G58" s="27"/>
      <c r="H58" s="28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spans="1:38" ht="12.75" customHeight="1" x14ac:dyDescent="0.2">
      <c r="A59" s="30" t="s">
        <v>60</v>
      </c>
      <c r="B59" s="30"/>
      <c r="C59" s="30"/>
      <c r="D59" s="30"/>
      <c r="E59" s="30"/>
      <c r="F59" s="30"/>
      <c r="G59" s="30"/>
      <c r="H59" s="30"/>
      <c r="I59" s="30"/>
      <c r="J59" s="30"/>
      <c r="K59" s="29"/>
      <c r="L59" s="29"/>
      <c r="M59" s="29"/>
      <c r="N59" s="30" t="s">
        <v>60</v>
      </c>
      <c r="O59" s="30"/>
      <c r="P59" s="30"/>
      <c r="Q59" s="30"/>
      <c r="R59" s="30"/>
      <c r="S59" s="30"/>
      <c r="T59" s="30"/>
      <c r="U59" s="30"/>
      <c r="V59" s="30"/>
      <c r="W59" s="30"/>
      <c r="X59" s="29"/>
      <c r="Y59" s="29"/>
      <c r="Z59" s="29"/>
      <c r="AA59" s="30" t="s">
        <v>60</v>
      </c>
      <c r="AB59" s="30"/>
      <c r="AC59" s="30"/>
      <c r="AD59" s="30"/>
      <c r="AE59" s="30"/>
      <c r="AF59" s="30"/>
      <c r="AG59" s="30"/>
      <c r="AH59" s="30"/>
      <c r="AI59" s="30"/>
      <c r="AJ59" s="30"/>
    </row>
    <row r="60" spans="1:38" ht="18" customHeight="1" x14ac:dyDescent="0.2">
      <c r="A60" s="30" t="s">
        <v>61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0"/>
      <c r="N60" s="30" t="str">
        <f>A60</f>
        <v xml:space="preserve">For details about the methodology for estimating TTR, please visit http://www.treasury.gov/resource-center/economic-policy/taxable-resources/Pages/Total-Taxable-Resources.aspx. </v>
      </c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0" t="str">
        <f>A60</f>
        <v xml:space="preserve">For details about the methodology for estimating TTR, please visit http://www.treasury.gov/resource-center/economic-policy/taxable-resources/Pages/Total-Taxable-Resources.aspx. </v>
      </c>
      <c r="AB60" s="32"/>
      <c r="AC60" s="32"/>
    </row>
    <row r="61" spans="1:38" ht="18" customHeight="1" x14ac:dyDescent="0.2">
      <c r="A61" s="30" t="s">
        <v>62</v>
      </c>
      <c r="B61" s="32"/>
      <c r="C61" s="32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 t="str">
        <f>A61</f>
        <v>Note that "United States" now exclusively refers to the 50 states + DC.</v>
      </c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0" t="str">
        <f>A61</f>
        <v>Note that "United States" now exclusively refers to the 50 states + DC.</v>
      </c>
      <c r="AB61" s="32"/>
      <c r="AC61" s="32"/>
    </row>
    <row r="62" spans="1:38" ht="18" customHeight="1" x14ac:dyDescent="0.2">
      <c r="A62" s="30" t="s">
        <v>63</v>
      </c>
      <c r="B62" s="32"/>
      <c r="C62" s="32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 t="s">
        <v>63</v>
      </c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0" t="s">
        <v>63</v>
      </c>
      <c r="AB62" s="32"/>
      <c r="AC62" s="32"/>
    </row>
    <row r="63" spans="1:38" ht="18" customHeight="1" x14ac:dyDescent="0.2">
      <c r="A63" s="33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3" t="s">
        <v>58</v>
      </c>
      <c r="O63" s="30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3" t="s">
        <v>58</v>
      </c>
      <c r="AB63" s="32"/>
    </row>
    <row r="64" spans="1:38" ht="24.2" customHeight="1" x14ac:dyDescent="0.25">
      <c r="A64" s="36" t="s">
        <v>64</v>
      </c>
      <c r="B64" s="36"/>
      <c r="C64" s="36"/>
      <c r="D64" s="36"/>
      <c r="E64" s="36"/>
      <c r="F64" s="36"/>
      <c r="J64" s="34" t="s">
        <v>65</v>
      </c>
      <c r="N64" s="36" t="s">
        <v>64</v>
      </c>
      <c r="O64" s="36"/>
      <c r="P64" s="36"/>
      <c r="Q64" s="36"/>
      <c r="R64" s="36"/>
      <c r="S64" s="36"/>
      <c r="W64" s="34" t="s">
        <v>65</v>
      </c>
      <c r="AA64" s="36" t="s">
        <v>64</v>
      </c>
      <c r="AB64" s="36"/>
      <c r="AC64" s="36"/>
      <c r="AD64" s="36"/>
      <c r="AE64" s="36"/>
      <c r="AF64" s="36"/>
      <c r="AJ64" s="34" t="s">
        <v>65</v>
      </c>
    </row>
    <row r="68" spans="2:12" ht="12.75" customHeight="1" x14ac:dyDescent="0.2"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</row>
  </sheetData>
  <dataConsolidate/>
  <pageMargins left="0.7" right="0.7" top="0.75" bottom="0.75" header="0.3" footer="0.3"/>
  <pageSetup scale="58" orientation="portrait" r:id="rId1"/>
  <colBreaks count="2" manualBreakCount="2">
    <brk id="13" max="1048575" man="1"/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2021-09-30T02:14:01Z</dcterms:created>
  <dcterms:modified xsi:type="dcterms:W3CDTF">2021-09-30T02:16:59Z</dcterms:modified>
</cp:coreProperties>
</file>