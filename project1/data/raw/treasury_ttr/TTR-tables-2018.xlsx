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630" windowWidth="28800" windowHeight="11625"/>
  </bookViews>
  <sheets>
    <sheet name="table 201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61" i="1" l="1"/>
  <c r="N61" i="1"/>
  <c r="AA60" i="1"/>
  <c r="N60" i="1"/>
</calcChain>
</file>

<file path=xl/sharedStrings.xml><?xml version="1.0" encoding="utf-8"?>
<sst xmlns="http://schemas.openxmlformats.org/spreadsheetml/2006/main" count="191" uniqueCount="66">
  <si>
    <t>TOTAL TAXABLE RESOURCES</t>
  </si>
  <si>
    <t>Table 1</t>
  </si>
  <si>
    <t>Table 2</t>
  </si>
  <si>
    <t>Table 3</t>
  </si>
  <si>
    <t>Billions of Dollars</t>
  </si>
  <si>
    <t>Dollars Per Capita</t>
  </si>
  <si>
    <t>Per Capita Index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</si>
  <si>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</si>
  <si>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</si>
  <si>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</si>
  <si>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</si>
  <si>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</si>
  <si>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</si>
  <si>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</si>
  <si>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</si>
  <si>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</si>
  <si>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</si>
  <si>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</si>
  <si>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</si>
  <si>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</si>
  <si>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</si>
  <si>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</si>
  <si>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</si>
  <si>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</si>
  <si>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</si>
  <si>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</si>
  <si>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</si>
  <si>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</si>
  <si>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</si>
  <si>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</si>
  <si>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</si>
  <si>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</si>
  <si>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</si>
  <si>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</si>
  <si>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</si>
  <si>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</si>
  <si>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</si>
  <si>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</si>
  <si>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</si>
  <si>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</si>
  <si>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</si>
  <si>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</si>
  <si>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</si>
  <si>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</si>
  <si>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</si>
  <si>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</si>
  <si>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</si>
  <si>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</si>
  <si>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</si>
  <si>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</si>
  <si>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</si>
  <si>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</si>
  <si>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</si>
  <si>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</si>
  <si>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</si>
  <si>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</si>
  <si>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</si>
  <si>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</si>
  <si>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</t>
  </si>
  <si>
    <t>United States</t>
  </si>
  <si>
    <t xml:space="preserve">Data Sources:  Bureau of Economic Analysis (BEA), Department of Commerce; Internal Revenue Service. </t>
  </si>
  <si>
    <t xml:space="preserve">For details about the methodology for estimating TTR, please visit http://www.treasury.gov/resource-center/economic-policy/taxable-resources/Pages/Total-Taxable-Resources.aspx. </t>
  </si>
  <si>
    <t>Note that "United States" now exclusively refers to the 50 states + DC.</t>
  </si>
  <si>
    <t xml:space="preserve">Please direct questions or comments regarding TTR to the Treasury Department at (202) 622-2200. </t>
  </si>
  <si>
    <t xml:space="preserve">Office of Economic Policy, U.S. Department of Treasury  </t>
  </si>
  <si>
    <t>September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</si>
</sst>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#,##0.0_);\(#,##0.0\)"/>
  </numFmts>
  <fonts count="13" x14ac:knownFonts="1">
    <font>
      <sz val="10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9.5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1" xfId="0" applyFont="1" applyBorder="1"/>
    <xf numFmtId="0" fontId="7" fillId="0" borderId="1" xfId="0" applyFont="1" applyFill="1" applyBorder="1" applyAlignment="1" applyProtection="1">
      <alignment horizontal="right"/>
    </xf>
    <xf numFmtId="0" fontId="7" fillId="0" borderId="0" xfId="0" applyFont="1" applyFill="1" applyBorder="1" applyAlignment="1" applyProtection="1">
      <alignment horizontal="right"/>
    </xf>
    <xf numFmtId="0" fontId="7" fillId="0" borderId="1" xfId="0" applyFont="1" applyFill="1" applyBorder="1" applyAlignment="1" applyProtection="1">
      <alignment horizontal="center"/>
    </xf>
    <xf numFmtId="0" fontId="7" fillId="0" borderId="0" xfId="0" applyFont="1" applyFill="1" applyBorder="1" applyAlignment="1" applyProtection="1">
      <alignment horizontal="center"/>
    </xf>
    <xf numFmtId="0" fontId="7" fillId="0" borderId="0" xfId="0" applyFont="1"/>
    <xf numFmtId="164" fontId="7" fillId="0" borderId="0" xfId="0" applyNumberFormat="1" applyFont="1" applyFill="1" applyBorder="1" applyAlignment="1" applyProtection="1">
      <alignment horizontal="right"/>
    </xf>
    <xf numFmtId="3" fontId="7" fillId="0" borderId="0" xfId="0" applyNumberFormat="1" applyFont="1" applyFill="1" applyBorder="1" applyAlignment="1" applyProtection="1">
      <alignment horizontal="center"/>
    </xf>
    <xf numFmtId="165" fontId="7" fillId="0" borderId="0" xfId="0" applyNumberFormat="1" applyFont="1" applyFill="1" applyBorder="1" applyAlignment="1" applyProtection="1">
      <alignment horizontal="right"/>
    </xf>
    <xf numFmtId="0" fontId="7" fillId="0" borderId="2" xfId="0" applyFont="1" applyBorder="1"/>
    <xf numFmtId="164" fontId="7" fillId="0" borderId="3" xfId="0" applyNumberFormat="1" applyFont="1" applyFill="1" applyBorder="1" applyAlignment="1" applyProtection="1">
      <alignment horizontal="right"/>
    </xf>
    <xf numFmtId="3" fontId="7" fillId="0" borderId="3" xfId="0" applyNumberFormat="1" applyFont="1" applyFill="1" applyBorder="1" applyAlignment="1" applyProtection="1">
      <alignment horizontal="center"/>
    </xf>
    <xf numFmtId="165" fontId="7" fillId="0" borderId="3" xfId="0" applyNumberFormat="1" applyFont="1" applyFill="1" applyBorder="1" applyAlignment="1" applyProtection="1">
      <alignment horizontal="right"/>
    </xf>
    <xf numFmtId="165" fontId="8" fillId="0" borderId="0" xfId="0" applyNumberFormat="1" applyFont="1" applyFill="1" applyBorder="1" applyAlignment="1" applyProtection="1">
      <alignment horizontal="right"/>
    </xf>
    <xf numFmtId="0" fontId="7" fillId="0" borderId="3" xfId="0" applyFont="1" applyBorder="1"/>
    <xf numFmtId="0" fontId="7" fillId="0" borderId="0" xfId="0" applyFont="1" applyBorder="1"/>
    <xf numFmtId="164" fontId="7" fillId="0" borderId="3" xfId="0" applyNumberFormat="1" applyFont="1" applyFill="1" applyBorder="1" applyAlignment="1" applyProtection="1">
      <alignment horizontal="left"/>
    </xf>
    <xf numFmtId="164" fontId="7" fillId="0" borderId="0" xfId="0" applyNumberFormat="1" applyFont="1" applyFill="1" applyBorder="1" applyAlignment="1" applyProtection="1">
      <alignment horizontal="center"/>
    </xf>
    <xf numFmtId="0" fontId="7" fillId="0" borderId="4" xfId="0" applyFont="1" applyBorder="1"/>
    <xf numFmtId="164" fontId="7" fillId="0" borderId="4" xfId="0" applyNumberFormat="1" applyFont="1" applyFill="1" applyBorder="1" applyAlignment="1" applyProtection="1">
      <alignment horizontal="right"/>
    </xf>
    <xf numFmtId="3" fontId="7" fillId="0" borderId="4" xfId="0" applyNumberFormat="1" applyFont="1" applyFill="1" applyBorder="1" applyAlignment="1" applyProtection="1">
      <alignment horizontal="center"/>
    </xf>
    <xf numFmtId="166" fontId="7" fillId="0" borderId="0" xfId="0" applyNumberFormat="1" applyFont="1" applyBorder="1" applyAlignment="1" applyProtection="1"/>
    <xf numFmtId="165" fontId="7" fillId="0" borderId="4" xfId="0" applyNumberFormat="1" applyFont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" fontId="12" fillId="0" borderId="0" xfId="0" quotePrefix="1" applyNumberFormat="1" applyFont="1"/>
    <xf numFmtId="165" fontId="0" fillId="0" borderId="0" xfId="0" applyNumberForma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8"/>
  <sheetViews>
    <sheetView tabSelected="1" zoomScale="90" zoomScaleNormal="90" workbookViewId="0">
      <selection activeCell="A2" sqref="A2"/>
    </sheetView>
  </sheetViews>
  <sheetFormatPr defaultRowHeight="12.75" x14ac:dyDescent="0.2"/>
  <cols>
    <col min="1" max="1" width="24.7109375" customWidth="1"/>
    <col min="2" max="13" width="10.7109375" customWidth="1"/>
    <col min="14" max="14" width="24.7109375" customWidth="1"/>
    <col min="15" max="25" width="10.7109375" customWidth="1"/>
    <col min="27" max="27" width="24.7109375" customWidth="1"/>
    <col min="28" max="38" width="10.7109375" customWidth="1"/>
  </cols>
  <sheetData>
    <row r="1" spans="1:38" ht="18.75" x14ac:dyDescent="0.3"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2"/>
      <c r="O1" s="39"/>
      <c r="P1" s="39"/>
      <c r="Q1" s="39"/>
      <c r="R1" s="39"/>
      <c r="S1" s="1" t="s">
        <v>0</v>
      </c>
      <c r="T1" s="39"/>
      <c r="U1" s="39"/>
      <c r="V1" s="39"/>
      <c r="W1" s="39"/>
      <c r="X1" s="39"/>
      <c r="Y1" s="39"/>
      <c r="Z1" s="3"/>
      <c r="AB1" s="39"/>
      <c r="AC1" s="39"/>
      <c r="AD1" s="39"/>
      <c r="AE1" s="39"/>
      <c r="AF1" s="1" t="s">
        <v>0</v>
      </c>
      <c r="AG1" s="39"/>
      <c r="AH1" s="39"/>
      <c r="AI1" s="39"/>
      <c r="AJ1" s="39"/>
      <c r="AK1" s="39"/>
      <c r="AL1" s="39"/>
    </row>
    <row r="2" spans="1:38" ht="15.75" x14ac:dyDescent="0.2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 t="s">
        <v>3</v>
      </c>
      <c r="AB2" s="4"/>
    </row>
    <row r="3" spans="1:38" ht="15" x14ac:dyDescent="0.2">
      <c r="A3" s="5" t="s">
        <v>4</v>
      </c>
      <c r="M3" s="3"/>
      <c r="N3" s="5" t="s">
        <v>5</v>
      </c>
      <c r="Z3" s="3"/>
      <c r="AA3" s="5" t="s">
        <v>6</v>
      </c>
    </row>
    <row r="4" spans="1:38" ht="16.5" thickBot="1" x14ac:dyDescent="0.3">
      <c r="A4" s="6"/>
      <c r="B4" s="7">
        <v>2006</v>
      </c>
      <c r="C4" s="7">
        <v>2007</v>
      </c>
      <c r="D4" s="7">
        <v>2008</v>
      </c>
      <c r="E4" s="7">
        <v>2009</v>
      </c>
      <c r="F4" s="7">
        <v>2010</v>
      </c>
      <c r="G4" s="7">
        <v>2011</v>
      </c>
      <c r="H4" s="7">
        <v>2012</v>
      </c>
      <c r="I4" s="7">
        <v>2013</v>
      </c>
      <c r="J4" s="7">
        <v>2014</v>
      </c>
      <c r="K4" s="7">
        <v>2015</v>
      </c>
      <c r="L4" s="7">
        <v>2016</v>
      </c>
      <c r="M4" s="8"/>
      <c r="N4" s="9"/>
      <c r="O4" s="9">
        <v>2006</v>
      </c>
      <c r="P4" s="9">
        <v>2007</v>
      </c>
      <c r="Q4" s="9">
        <v>2008</v>
      </c>
      <c r="R4" s="9">
        <v>2009</v>
      </c>
      <c r="S4" s="9">
        <v>2010</v>
      </c>
      <c r="T4" s="9">
        <v>2011</v>
      </c>
      <c r="U4" s="9">
        <v>2012</v>
      </c>
      <c r="V4" s="9">
        <v>2013</v>
      </c>
      <c r="W4" s="9">
        <v>2014</v>
      </c>
      <c r="X4" s="9">
        <v>2015</v>
      </c>
      <c r="Y4" s="9">
        <v>2016</v>
      </c>
      <c r="Z4" s="10"/>
      <c r="AA4" s="7"/>
      <c r="AB4" s="7">
        <v>2006</v>
      </c>
      <c r="AC4" s="7">
        <v>2007</v>
      </c>
      <c r="AD4" s="7">
        <v>2008</v>
      </c>
      <c r="AE4" s="7">
        <v>2009</v>
      </c>
      <c r="AF4" s="7">
        <v>2010</v>
      </c>
      <c r="AG4" s="7">
        <v>2011</v>
      </c>
      <c r="AH4" s="7">
        <v>2012</v>
      </c>
      <c r="AI4" s="7">
        <v>2013</v>
      </c>
      <c r="AJ4" s="7">
        <v>2014</v>
      </c>
      <c r="AK4" s="7">
        <v>2015</v>
      </c>
      <c r="AL4" s="7">
        <v>2016</v>
      </c>
    </row>
    <row r="5" spans="1:38" ht="16.5" thickTop="1" x14ac:dyDescent="0.25">
      <c r="A5" s="11" t="s">
        <v>7</v>
      </c>
      <c r="B5" s="12">
        <v>185.1</v>
      </c>
      <c r="C5" s="12">
        <v>193.4</v>
      </c>
      <c r="D5" s="12">
        <v>193</v>
      </c>
      <c r="E5" s="12">
        <v>183.5</v>
      </c>
      <c r="F5" s="12">
        <v>190.4</v>
      </c>
      <c r="G5" s="12">
        <v>198.6</v>
      </c>
      <c r="H5" s="12">
        <v>207.9</v>
      </c>
      <c r="I5" s="12">
        <v>209.5</v>
      </c>
      <c r="J5" s="12">
        <v>215.5</v>
      </c>
      <c r="K5" s="12">
        <v>222.9</v>
      </c>
      <c r="L5" s="12">
        <v>226.4</v>
      </c>
      <c r="M5" s="12"/>
      <c r="N5" s="11" t="s">
        <v>7</v>
      </c>
      <c r="O5" s="13">
        <v>39985</v>
      </c>
      <c r="P5" s="13">
        <v>41379</v>
      </c>
      <c r="Q5" s="13">
        <v>40912</v>
      </c>
      <c r="R5" s="13">
        <v>38558</v>
      </c>
      <c r="S5" s="13">
        <v>39781</v>
      </c>
      <c r="T5" s="13">
        <v>41381</v>
      </c>
      <c r="U5" s="13">
        <v>43186</v>
      </c>
      <c r="V5" s="13">
        <v>43396</v>
      </c>
      <c r="W5" s="13">
        <v>44532</v>
      </c>
      <c r="X5" s="13">
        <v>45950</v>
      </c>
      <c r="Y5" s="13">
        <v>46577</v>
      </c>
      <c r="Z5" s="14"/>
      <c r="AA5" s="11" t="s">
        <v>7</v>
      </c>
      <c r="AB5" s="14">
        <v>76.8</v>
      </c>
      <c r="AC5" s="14">
        <v>75.8</v>
      </c>
      <c r="AD5" s="14">
        <v>76.599999999999994</v>
      </c>
      <c r="AE5" s="14">
        <v>76.599999999999994</v>
      </c>
      <c r="AF5" s="14">
        <v>76.599999999999994</v>
      </c>
      <c r="AG5" s="14">
        <v>76.400000000000006</v>
      </c>
      <c r="AH5" s="14">
        <v>75.400000000000006</v>
      </c>
      <c r="AI5" s="14">
        <v>75.5</v>
      </c>
      <c r="AJ5" s="14">
        <v>73.599999999999994</v>
      </c>
      <c r="AK5" s="14">
        <v>73.400000000000006</v>
      </c>
      <c r="AL5" s="14">
        <v>73.7</v>
      </c>
    </row>
    <row r="6" spans="1:38" ht="15.75" x14ac:dyDescent="0.25">
      <c r="A6" s="11" t="s">
        <v>8</v>
      </c>
      <c r="B6" s="12">
        <v>45.7</v>
      </c>
      <c r="C6" s="12">
        <v>50.6</v>
      </c>
      <c r="D6" s="12">
        <v>56.6</v>
      </c>
      <c r="E6" s="12">
        <v>50.8</v>
      </c>
      <c r="F6" s="12">
        <v>54.5</v>
      </c>
      <c r="G6" s="12">
        <v>59.5</v>
      </c>
      <c r="H6" s="12">
        <v>62.3</v>
      </c>
      <c r="I6" s="12">
        <v>60.2</v>
      </c>
      <c r="J6" s="12">
        <v>59.3</v>
      </c>
      <c r="K6" s="12">
        <v>53.9</v>
      </c>
      <c r="L6" s="12">
        <v>51.8</v>
      </c>
      <c r="M6" s="12"/>
      <c r="N6" s="11" t="s">
        <v>8</v>
      </c>
      <c r="O6" s="13">
        <v>67600</v>
      </c>
      <c r="P6" s="13">
        <v>74390</v>
      </c>
      <c r="Q6" s="13">
        <v>82341</v>
      </c>
      <c r="R6" s="13">
        <v>72659</v>
      </c>
      <c r="S6" s="13">
        <v>76300</v>
      </c>
      <c r="T6" s="13">
        <v>82411</v>
      </c>
      <c r="U6" s="13">
        <v>85223</v>
      </c>
      <c r="V6" s="13">
        <v>81737</v>
      </c>
      <c r="W6" s="13">
        <v>80440</v>
      </c>
      <c r="X6" s="13">
        <v>73061</v>
      </c>
      <c r="Y6" s="13">
        <v>69852</v>
      </c>
      <c r="Z6" s="14"/>
      <c r="AA6" s="11" t="s">
        <v>8</v>
      </c>
      <c r="AB6" s="14">
        <v>129.80000000000001</v>
      </c>
      <c r="AC6" s="14">
        <v>136.19999999999999</v>
      </c>
      <c r="AD6" s="14">
        <v>154.1</v>
      </c>
      <c r="AE6" s="14">
        <v>144.30000000000001</v>
      </c>
      <c r="AF6" s="14">
        <v>147</v>
      </c>
      <c r="AG6" s="14">
        <v>152.19999999999999</v>
      </c>
      <c r="AH6" s="14">
        <v>148.80000000000001</v>
      </c>
      <c r="AI6" s="14">
        <v>142.19999999999999</v>
      </c>
      <c r="AJ6" s="14">
        <v>132.9</v>
      </c>
      <c r="AK6" s="14">
        <v>116.7</v>
      </c>
      <c r="AL6" s="14">
        <v>110.5</v>
      </c>
    </row>
    <row r="7" spans="1:38" ht="15.75" x14ac:dyDescent="0.25">
      <c r="A7" s="11" t="s">
        <v>9</v>
      </c>
      <c r="B7" s="12">
        <v>282</v>
      </c>
      <c r="C7" s="12">
        <v>298.3</v>
      </c>
      <c r="D7" s="12">
        <v>282.3</v>
      </c>
      <c r="E7" s="12">
        <v>259.60000000000002</v>
      </c>
      <c r="F7" s="12">
        <v>263.10000000000002</v>
      </c>
      <c r="G7" s="12">
        <v>275.89999999999998</v>
      </c>
      <c r="H7" s="12">
        <v>292.8</v>
      </c>
      <c r="I7" s="12">
        <v>294.3</v>
      </c>
      <c r="J7" s="12">
        <v>310.10000000000002</v>
      </c>
      <c r="K7" s="12">
        <v>325.5</v>
      </c>
      <c r="L7" s="12">
        <v>334.6</v>
      </c>
      <c r="M7" s="12"/>
      <c r="N7" s="11" t="s">
        <v>9</v>
      </c>
      <c r="O7" s="13">
        <v>46779</v>
      </c>
      <c r="P7" s="13">
        <v>48357</v>
      </c>
      <c r="Q7" s="13">
        <v>44953</v>
      </c>
      <c r="R7" s="13">
        <v>40921</v>
      </c>
      <c r="S7" s="13">
        <v>41069</v>
      </c>
      <c r="T7" s="13">
        <v>42668</v>
      </c>
      <c r="U7" s="13">
        <v>44741</v>
      </c>
      <c r="V7" s="13">
        <v>44480</v>
      </c>
      <c r="W7" s="13">
        <v>46240</v>
      </c>
      <c r="X7" s="13">
        <v>47857</v>
      </c>
      <c r="Y7" s="13">
        <v>48430</v>
      </c>
      <c r="Z7" s="14"/>
      <c r="AA7" s="11" t="s">
        <v>9</v>
      </c>
      <c r="AB7" s="14">
        <v>89.8</v>
      </c>
      <c r="AC7" s="14">
        <v>88.6</v>
      </c>
      <c r="AD7" s="14">
        <v>84.1</v>
      </c>
      <c r="AE7" s="14">
        <v>81.3</v>
      </c>
      <c r="AF7" s="14">
        <v>79.099999999999994</v>
      </c>
      <c r="AG7" s="14">
        <v>78.8</v>
      </c>
      <c r="AH7" s="14">
        <v>78.099999999999994</v>
      </c>
      <c r="AI7" s="14">
        <v>77.400000000000006</v>
      </c>
      <c r="AJ7" s="14">
        <v>76.400000000000006</v>
      </c>
      <c r="AK7" s="14">
        <v>76.400000000000006</v>
      </c>
      <c r="AL7" s="14">
        <v>76.599999999999994</v>
      </c>
    </row>
    <row r="8" spans="1:38" ht="15.75" x14ac:dyDescent="0.25">
      <c r="A8" s="11" t="s">
        <v>10</v>
      </c>
      <c r="B8" s="12">
        <v>106.2</v>
      </c>
      <c r="C8" s="12">
        <v>111.4</v>
      </c>
      <c r="D8" s="12">
        <v>113.2</v>
      </c>
      <c r="E8" s="12">
        <v>108.2</v>
      </c>
      <c r="F8" s="12">
        <v>112.8</v>
      </c>
      <c r="G8" s="12">
        <v>120.3</v>
      </c>
      <c r="H8" s="12">
        <v>127.1</v>
      </c>
      <c r="I8" s="12">
        <v>128.6</v>
      </c>
      <c r="J8" s="12">
        <v>135.19999999999999</v>
      </c>
      <c r="K8" s="12">
        <v>138.19999999999999</v>
      </c>
      <c r="L8" s="12">
        <v>140.1</v>
      </c>
      <c r="M8" s="12"/>
      <c r="N8" s="11" t="s">
        <v>10</v>
      </c>
      <c r="O8" s="13">
        <v>37635</v>
      </c>
      <c r="P8" s="13">
        <v>39123</v>
      </c>
      <c r="Q8" s="13">
        <v>39368</v>
      </c>
      <c r="R8" s="13">
        <v>37340</v>
      </c>
      <c r="S8" s="13">
        <v>38616</v>
      </c>
      <c r="T8" s="13">
        <v>40922</v>
      </c>
      <c r="U8" s="13">
        <v>43111</v>
      </c>
      <c r="V8" s="13">
        <v>43478</v>
      </c>
      <c r="W8" s="13">
        <v>45605</v>
      </c>
      <c r="X8" s="13">
        <v>46455</v>
      </c>
      <c r="Y8" s="13">
        <v>46876</v>
      </c>
      <c r="Z8" s="14"/>
      <c r="AA8" s="11" t="s">
        <v>10</v>
      </c>
      <c r="AB8" s="14">
        <v>72.2</v>
      </c>
      <c r="AC8" s="14">
        <v>71.599999999999994</v>
      </c>
      <c r="AD8" s="14">
        <v>73.7</v>
      </c>
      <c r="AE8" s="14">
        <v>74.099999999999994</v>
      </c>
      <c r="AF8" s="14">
        <v>74.400000000000006</v>
      </c>
      <c r="AG8" s="14">
        <v>75.599999999999994</v>
      </c>
      <c r="AH8" s="14">
        <v>75.3</v>
      </c>
      <c r="AI8" s="14">
        <v>75.599999999999994</v>
      </c>
      <c r="AJ8" s="14">
        <v>75.400000000000006</v>
      </c>
      <c r="AK8" s="14">
        <v>74.2</v>
      </c>
      <c r="AL8" s="14">
        <v>74.2</v>
      </c>
    </row>
    <row r="9" spans="1:38" ht="15.75" x14ac:dyDescent="0.25">
      <c r="A9" s="11" t="s">
        <v>11</v>
      </c>
      <c r="B9" s="12">
        <v>2078.1999999999998</v>
      </c>
      <c r="C9" s="12">
        <v>2186.1</v>
      </c>
      <c r="D9" s="12">
        <v>2138.3000000000002</v>
      </c>
      <c r="E9" s="12">
        <v>2004.9</v>
      </c>
      <c r="F9" s="12">
        <v>2070.1</v>
      </c>
      <c r="G9" s="12">
        <v>2172.1999999999998</v>
      </c>
      <c r="H9" s="12">
        <v>2338.6999999999998</v>
      </c>
      <c r="I9" s="12">
        <v>2382.3000000000002</v>
      </c>
      <c r="J9" s="12">
        <v>2574.8000000000002</v>
      </c>
      <c r="K9" s="12">
        <v>2744.1</v>
      </c>
      <c r="L9" s="12">
        <v>2836.1</v>
      </c>
      <c r="M9" s="12"/>
      <c r="N9" s="11" t="s">
        <v>11</v>
      </c>
      <c r="O9" s="13">
        <v>57693</v>
      </c>
      <c r="P9" s="13">
        <v>60306</v>
      </c>
      <c r="Q9" s="13">
        <v>58416</v>
      </c>
      <c r="R9" s="13">
        <v>54244</v>
      </c>
      <c r="S9" s="13">
        <v>55457</v>
      </c>
      <c r="T9" s="13">
        <v>57660</v>
      </c>
      <c r="U9" s="13">
        <v>61513</v>
      </c>
      <c r="V9" s="13">
        <v>62123</v>
      </c>
      <c r="W9" s="13">
        <v>66531</v>
      </c>
      <c r="X9" s="13">
        <v>70303</v>
      </c>
      <c r="Y9" s="13">
        <v>72171</v>
      </c>
      <c r="Z9" s="14"/>
      <c r="AA9" s="11" t="s">
        <v>11</v>
      </c>
      <c r="AB9" s="14">
        <v>110.8</v>
      </c>
      <c r="AC9" s="14">
        <v>110.4</v>
      </c>
      <c r="AD9" s="14">
        <v>109.3</v>
      </c>
      <c r="AE9" s="14">
        <v>107.7</v>
      </c>
      <c r="AF9" s="14">
        <v>106.8</v>
      </c>
      <c r="AG9" s="14">
        <v>106.5</v>
      </c>
      <c r="AH9" s="14">
        <v>107.4</v>
      </c>
      <c r="AI9" s="14">
        <v>108.1</v>
      </c>
      <c r="AJ9" s="14">
        <v>109.9</v>
      </c>
      <c r="AK9" s="14">
        <v>112.3</v>
      </c>
      <c r="AL9" s="14">
        <v>114.2</v>
      </c>
    </row>
    <row r="10" spans="1:38" ht="15.75" x14ac:dyDescent="0.25">
      <c r="A10" s="11" t="s">
        <v>12</v>
      </c>
      <c r="B10" s="12">
        <v>260.5</v>
      </c>
      <c r="C10" s="12">
        <v>280.10000000000002</v>
      </c>
      <c r="D10" s="12">
        <v>279.2</v>
      </c>
      <c r="E10" s="12">
        <v>263.39999999999998</v>
      </c>
      <c r="F10" s="12">
        <v>269.89999999999998</v>
      </c>
      <c r="G10" s="12">
        <v>286.3</v>
      </c>
      <c r="H10" s="12">
        <v>305</v>
      </c>
      <c r="I10" s="12">
        <v>311.7</v>
      </c>
      <c r="J10" s="12">
        <v>336.7</v>
      </c>
      <c r="K10" s="12">
        <v>349.9</v>
      </c>
      <c r="L10" s="12">
        <v>356.4</v>
      </c>
      <c r="M10" s="12"/>
      <c r="N10" s="11" t="s">
        <v>12</v>
      </c>
      <c r="O10" s="13">
        <v>55195</v>
      </c>
      <c r="P10" s="13">
        <v>58311</v>
      </c>
      <c r="Q10" s="13">
        <v>57104</v>
      </c>
      <c r="R10" s="13">
        <v>52970</v>
      </c>
      <c r="S10" s="13">
        <v>53470</v>
      </c>
      <c r="T10" s="13">
        <v>55965</v>
      </c>
      <c r="U10" s="13">
        <v>58802</v>
      </c>
      <c r="V10" s="13">
        <v>59225</v>
      </c>
      <c r="W10" s="13">
        <v>63033</v>
      </c>
      <c r="X10" s="13">
        <v>64306</v>
      </c>
      <c r="Y10" s="13">
        <v>64451</v>
      </c>
      <c r="Z10" s="14"/>
      <c r="AA10" s="11" t="s">
        <v>12</v>
      </c>
      <c r="AB10" s="14">
        <v>106</v>
      </c>
      <c r="AC10" s="14">
        <v>106.8</v>
      </c>
      <c r="AD10" s="14">
        <v>106.9</v>
      </c>
      <c r="AE10" s="14">
        <v>105.2</v>
      </c>
      <c r="AF10" s="14">
        <v>103</v>
      </c>
      <c r="AG10" s="14">
        <v>103.4</v>
      </c>
      <c r="AH10" s="14">
        <v>102.6</v>
      </c>
      <c r="AI10" s="14">
        <v>103</v>
      </c>
      <c r="AJ10" s="14">
        <v>104.2</v>
      </c>
      <c r="AK10" s="14">
        <v>102.7</v>
      </c>
      <c r="AL10" s="14">
        <v>102</v>
      </c>
    </row>
    <row r="11" spans="1:38" ht="15.75" x14ac:dyDescent="0.25">
      <c r="A11" s="11" t="s">
        <v>13</v>
      </c>
      <c r="B11" s="12">
        <v>271.10000000000002</v>
      </c>
      <c r="C11" s="12">
        <v>297.60000000000002</v>
      </c>
      <c r="D11" s="12">
        <v>286.60000000000002</v>
      </c>
      <c r="E11" s="12">
        <v>269.2</v>
      </c>
      <c r="F11" s="12">
        <v>276.60000000000002</v>
      </c>
      <c r="G11" s="12">
        <v>279.60000000000002</v>
      </c>
      <c r="H11" s="12">
        <v>295.5</v>
      </c>
      <c r="I11" s="12">
        <v>291.60000000000002</v>
      </c>
      <c r="J11" s="12">
        <v>302.5</v>
      </c>
      <c r="K11" s="12">
        <v>312.10000000000002</v>
      </c>
      <c r="L11" s="12">
        <v>310.3</v>
      </c>
      <c r="M11" s="12"/>
      <c r="N11" s="11" t="s">
        <v>13</v>
      </c>
      <c r="O11" s="13">
        <v>77067</v>
      </c>
      <c r="P11" s="13">
        <v>84364</v>
      </c>
      <c r="Q11" s="13">
        <v>80822</v>
      </c>
      <c r="R11" s="13">
        <v>75585</v>
      </c>
      <c r="S11" s="13">
        <v>77272</v>
      </c>
      <c r="T11" s="13">
        <v>77847</v>
      </c>
      <c r="U11" s="13">
        <v>82138</v>
      </c>
      <c r="V11" s="13">
        <v>80954</v>
      </c>
      <c r="W11" s="13">
        <v>84024</v>
      </c>
      <c r="X11" s="13">
        <v>86845</v>
      </c>
      <c r="Y11" s="13">
        <v>86480</v>
      </c>
      <c r="Z11" s="14"/>
      <c r="AA11" s="11" t="s">
        <v>13</v>
      </c>
      <c r="AB11" s="14">
        <v>147.9</v>
      </c>
      <c r="AC11" s="14">
        <v>154.5</v>
      </c>
      <c r="AD11" s="14">
        <v>151.19999999999999</v>
      </c>
      <c r="AE11" s="14">
        <v>150.1</v>
      </c>
      <c r="AF11" s="14">
        <v>148.9</v>
      </c>
      <c r="AG11" s="14">
        <v>143.80000000000001</v>
      </c>
      <c r="AH11" s="14">
        <v>143.4</v>
      </c>
      <c r="AI11" s="14">
        <v>140.80000000000001</v>
      </c>
      <c r="AJ11" s="14">
        <v>138.80000000000001</v>
      </c>
      <c r="AK11" s="14">
        <v>138.69999999999999</v>
      </c>
      <c r="AL11" s="14">
        <v>136.80000000000001</v>
      </c>
    </row>
    <row r="12" spans="1:38" ht="15.75" x14ac:dyDescent="0.25">
      <c r="A12" s="11" t="s">
        <v>14</v>
      </c>
      <c r="B12" s="12">
        <v>63.6</v>
      </c>
      <c r="C12" s="12">
        <v>65.5</v>
      </c>
      <c r="D12" s="12">
        <v>62.6</v>
      </c>
      <c r="E12" s="12">
        <v>63.5</v>
      </c>
      <c r="F12" s="12">
        <v>63.5</v>
      </c>
      <c r="G12" s="12">
        <v>66.900000000000006</v>
      </c>
      <c r="H12" s="12">
        <v>68.5</v>
      </c>
      <c r="I12" s="12">
        <v>68.599999999999994</v>
      </c>
      <c r="J12" s="12">
        <v>74.400000000000006</v>
      </c>
      <c r="K12" s="12">
        <v>78.400000000000006</v>
      </c>
      <c r="L12" s="12">
        <v>79.3</v>
      </c>
      <c r="M12" s="12"/>
      <c r="N12" s="11" t="s">
        <v>14</v>
      </c>
      <c r="O12" s="13">
        <v>73968</v>
      </c>
      <c r="P12" s="13">
        <v>75085</v>
      </c>
      <c r="Q12" s="13">
        <v>70816</v>
      </c>
      <c r="R12" s="13">
        <v>71217</v>
      </c>
      <c r="S12" s="13">
        <v>70577</v>
      </c>
      <c r="T12" s="13">
        <v>73728</v>
      </c>
      <c r="U12" s="13">
        <v>74704</v>
      </c>
      <c r="V12" s="13">
        <v>74133</v>
      </c>
      <c r="W12" s="13">
        <v>79559</v>
      </c>
      <c r="X12" s="13">
        <v>83059</v>
      </c>
      <c r="Y12" s="13">
        <v>83254</v>
      </c>
      <c r="Z12" s="14"/>
      <c r="AA12" s="11" t="s">
        <v>14</v>
      </c>
      <c r="AB12" s="14">
        <v>142</v>
      </c>
      <c r="AC12" s="14">
        <v>137.5</v>
      </c>
      <c r="AD12" s="14">
        <v>132.5</v>
      </c>
      <c r="AE12" s="14">
        <v>141.4</v>
      </c>
      <c r="AF12" s="14">
        <v>136</v>
      </c>
      <c r="AG12" s="14">
        <v>136.19999999999999</v>
      </c>
      <c r="AH12" s="14">
        <v>130.4</v>
      </c>
      <c r="AI12" s="14">
        <v>129</v>
      </c>
      <c r="AJ12" s="14">
        <v>131.5</v>
      </c>
      <c r="AK12" s="14">
        <v>132.6</v>
      </c>
      <c r="AL12" s="14">
        <v>131.69999999999999</v>
      </c>
    </row>
    <row r="13" spans="1:38" ht="15.75" x14ac:dyDescent="0.25">
      <c r="A13" s="11" t="s">
        <v>15</v>
      </c>
      <c r="B13" s="12">
        <v>50.1</v>
      </c>
      <c r="C13" s="12">
        <v>54.1</v>
      </c>
      <c r="D13" s="12">
        <v>54.8</v>
      </c>
      <c r="E13" s="12">
        <v>53.8</v>
      </c>
      <c r="F13" s="12">
        <v>56.8</v>
      </c>
      <c r="G13" s="12">
        <v>59.9</v>
      </c>
      <c r="H13" s="12">
        <v>63.7</v>
      </c>
      <c r="I13" s="12">
        <v>63.8</v>
      </c>
      <c r="J13" s="12">
        <v>67.8</v>
      </c>
      <c r="K13" s="12">
        <v>71.900000000000006</v>
      </c>
      <c r="L13" s="12">
        <v>72.7</v>
      </c>
      <c r="M13" s="12"/>
      <c r="N13" s="11" t="s">
        <v>15</v>
      </c>
      <c r="O13" s="13">
        <v>87747</v>
      </c>
      <c r="P13" s="13">
        <v>94263</v>
      </c>
      <c r="Q13" s="13">
        <v>94396</v>
      </c>
      <c r="R13" s="13">
        <v>90890</v>
      </c>
      <c r="S13" s="13">
        <v>93796</v>
      </c>
      <c r="T13" s="13">
        <v>96609</v>
      </c>
      <c r="U13" s="13">
        <v>100231</v>
      </c>
      <c r="V13" s="13">
        <v>98114</v>
      </c>
      <c r="W13" s="13">
        <v>102602</v>
      </c>
      <c r="X13" s="13">
        <v>106808</v>
      </c>
      <c r="Y13" s="13">
        <v>106302</v>
      </c>
      <c r="Z13" s="14"/>
      <c r="AA13" s="11" t="s">
        <v>15</v>
      </c>
      <c r="AB13" s="14">
        <v>168.4</v>
      </c>
      <c r="AC13" s="14">
        <v>172.6</v>
      </c>
      <c r="AD13" s="14">
        <v>176.6</v>
      </c>
      <c r="AE13" s="14">
        <v>180.5</v>
      </c>
      <c r="AF13" s="14">
        <v>180.7</v>
      </c>
      <c r="AG13" s="14">
        <v>178.5</v>
      </c>
      <c r="AH13" s="14">
        <v>175</v>
      </c>
      <c r="AI13" s="14">
        <v>170.7</v>
      </c>
      <c r="AJ13" s="14">
        <v>169.5</v>
      </c>
      <c r="AK13" s="14">
        <v>170.6</v>
      </c>
      <c r="AL13" s="14">
        <v>168.2</v>
      </c>
    </row>
    <row r="14" spans="1:38" ht="15.75" x14ac:dyDescent="0.25">
      <c r="A14" s="15" t="s">
        <v>16</v>
      </c>
      <c r="B14" s="16">
        <v>931.5</v>
      </c>
      <c r="C14" s="16">
        <v>972.5</v>
      </c>
      <c r="D14" s="16">
        <v>905.4</v>
      </c>
      <c r="E14" s="16">
        <v>833.5</v>
      </c>
      <c r="F14" s="16">
        <v>860.5</v>
      </c>
      <c r="G14" s="16">
        <v>889.6</v>
      </c>
      <c r="H14" s="16">
        <v>946.7</v>
      </c>
      <c r="I14" s="16">
        <v>946.7</v>
      </c>
      <c r="J14" s="16">
        <v>1022.9</v>
      </c>
      <c r="K14" s="16">
        <v>1101</v>
      </c>
      <c r="L14" s="16">
        <v>1115.5</v>
      </c>
      <c r="M14" s="12"/>
      <c r="N14" s="15" t="s">
        <v>16</v>
      </c>
      <c r="O14" s="17">
        <v>51272</v>
      </c>
      <c r="P14" s="17">
        <v>52945</v>
      </c>
      <c r="Q14" s="17">
        <v>48866</v>
      </c>
      <c r="R14" s="17">
        <v>44683</v>
      </c>
      <c r="S14" s="17">
        <v>45660</v>
      </c>
      <c r="T14" s="17">
        <v>46583</v>
      </c>
      <c r="U14" s="17">
        <v>48945</v>
      </c>
      <c r="V14" s="17">
        <v>48337</v>
      </c>
      <c r="W14" s="17">
        <v>51410</v>
      </c>
      <c r="X14" s="17">
        <v>54320</v>
      </c>
      <c r="Y14" s="17">
        <v>54001</v>
      </c>
      <c r="Z14" s="14"/>
      <c r="AA14" s="15" t="s">
        <v>16</v>
      </c>
      <c r="AB14" s="18">
        <v>98.4</v>
      </c>
      <c r="AC14" s="18">
        <v>97</v>
      </c>
      <c r="AD14" s="18">
        <v>91.4</v>
      </c>
      <c r="AE14" s="18">
        <v>88.7</v>
      </c>
      <c r="AF14" s="18">
        <v>88</v>
      </c>
      <c r="AG14" s="18">
        <v>86</v>
      </c>
      <c r="AH14" s="18">
        <v>85.4</v>
      </c>
      <c r="AI14" s="18">
        <v>84.1</v>
      </c>
      <c r="AJ14" s="18">
        <v>85</v>
      </c>
      <c r="AK14" s="18">
        <v>86.8</v>
      </c>
      <c r="AL14" s="18">
        <v>85.4</v>
      </c>
    </row>
    <row r="15" spans="1:38" ht="15.75" x14ac:dyDescent="0.25">
      <c r="A15" s="11" t="s">
        <v>17</v>
      </c>
      <c r="B15" s="12">
        <v>441.2</v>
      </c>
      <c r="C15" s="12">
        <v>460.6</v>
      </c>
      <c r="D15" s="12">
        <v>442.5</v>
      </c>
      <c r="E15" s="12">
        <v>425.5</v>
      </c>
      <c r="F15" s="12">
        <v>433.7</v>
      </c>
      <c r="G15" s="12">
        <v>453.6</v>
      </c>
      <c r="H15" s="12">
        <v>475.6</v>
      </c>
      <c r="I15" s="12">
        <v>483.5</v>
      </c>
      <c r="J15" s="12">
        <v>517.6</v>
      </c>
      <c r="K15" s="12">
        <v>547.29999999999995</v>
      </c>
      <c r="L15" s="12">
        <v>569.29999999999995</v>
      </c>
      <c r="M15" s="12"/>
      <c r="N15" s="11" t="s">
        <v>17</v>
      </c>
      <c r="O15" s="13">
        <v>48191</v>
      </c>
      <c r="P15" s="13">
        <v>49259</v>
      </c>
      <c r="Q15" s="13">
        <v>46557</v>
      </c>
      <c r="R15" s="13">
        <v>44228</v>
      </c>
      <c r="S15" s="13">
        <v>44654</v>
      </c>
      <c r="T15" s="13">
        <v>46235</v>
      </c>
      <c r="U15" s="13">
        <v>47982</v>
      </c>
      <c r="V15" s="13">
        <v>48436</v>
      </c>
      <c r="W15" s="13">
        <v>51329</v>
      </c>
      <c r="X15" s="13">
        <v>53660</v>
      </c>
      <c r="Y15" s="13">
        <v>55198</v>
      </c>
      <c r="Z15" s="14"/>
      <c r="AA15" s="11" t="s">
        <v>17</v>
      </c>
      <c r="AB15" s="14">
        <v>92.5</v>
      </c>
      <c r="AC15" s="14">
        <v>90.2</v>
      </c>
      <c r="AD15" s="14">
        <v>87.1</v>
      </c>
      <c r="AE15" s="14">
        <v>87.8</v>
      </c>
      <c r="AF15" s="14">
        <v>86</v>
      </c>
      <c r="AG15" s="14">
        <v>85.4</v>
      </c>
      <c r="AH15" s="14">
        <v>83.8</v>
      </c>
      <c r="AI15" s="14">
        <v>84.3</v>
      </c>
      <c r="AJ15" s="14">
        <v>84.8</v>
      </c>
      <c r="AK15" s="14">
        <v>85.7</v>
      </c>
      <c r="AL15" s="14">
        <v>87.3</v>
      </c>
    </row>
    <row r="16" spans="1:38" ht="15.75" x14ac:dyDescent="0.25">
      <c r="A16" s="11" t="s">
        <v>18</v>
      </c>
      <c r="B16" s="12">
        <v>67.400000000000006</v>
      </c>
      <c r="C16" s="12">
        <v>71.099999999999994</v>
      </c>
      <c r="D16" s="12">
        <v>71.099999999999994</v>
      </c>
      <c r="E16" s="12">
        <v>68.400000000000006</v>
      </c>
      <c r="F16" s="12">
        <v>70.8</v>
      </c>
      <c r="G16" s="12">
        <v>72.7</v>
      </c>
      <c r="H16" s="12">
        <v>76.599999999999994</v>
      </c>
      <c r="I16" s="12">
        <v>77.5</v>
      </c>
      <c r="J16" s="12">
        <v>81.2</v>
      </c>
      <c r="K16" s="12">
        <v>86.4</v>
      </c>
      <c r="L16" s="12">
        <v>89.4</v>
      </c>
      <c r="M16" s="12"/>
      <c r="N16" s="11" t="s">
        <v>18</v>
      </c>
      <c r="O16" s="13">
        <v>51444</v>
      </c>
      <c r="P16" s="13">
        <v>54076</v>
      </c>
      <c r="Q16" s="13">
        <v>53373</v>
      </c>
      <c r="R16" s="13">
        <v>50827</v>
      </c>
      <c r="S16" s="13">
        <v>51932</v>
      </c>
      <c r="T16" s="13">
        <v>52751</v>
      </c>
      <c r="U16" s="13">
        <v>55024</v>
      </c>
      <c r="V16" s="13">
        <v>55013</v>
      </c>
      <c r="W16" s="13">
        <v>57311</v>
      </c>
      <c r="X16" s="13">
        <v>60543</v>
      </c>
      <c r="Y16" s="13">
        <v>62561</v>
      </c>
      <c r="Z16" s="14"/>
      <c r="AA16" s="11" t="s">
        <v>18</v>
      </c>
      <c r="AB16" s="14">
        <v>98.8</v>
      </c>
      <c r="AC16" s="14">
        <v>99</v>
      </c>
      <c r="AD16" s="14">
        <v>99.9</v>
      </c>
      <c r="AE16" s="14">
        <v>100.9</v>
      </c>
      <c r="AF16" s="14">
        <v>100.1</v>
      </c>
      <c r="AG16" s="14">
        <v>97.4</v>
      </c>
      <c r="AH16" s="14">
        <v>96.1</v>
      </c>
      <c r="AI16" s="14">
        <v>95.7</v>
      </c>
      <c r="AJ16" s="14">
        <v>94.7</v>
      </c>
      <c r="AK16" s="14">
        <v>96.7</v>
      </c>
      <c r="AL16" s="14">
        <v>99</v>
      </c>
    </row>
    <row r="17" spans="1:38" ht="15.75" x14ac:dyDescent="0.25">
      <c r="A17" s="11" t="s">
        <v>19</v>
      </c>
      <c r="B17" s="12">
        <v>60.2</v>
      </c>
      <c r="C17" s="12">
        <v>64</v>
      </c>
      <c r="D17" s="12">
        <v>63.6</v>
      </c>
      <c r="E17" s="12">
        <v>59.4</v>
      </c>
      <c r="F17" s="12">
        <v>60.6</v>
      </c>
      <c r="G17" s="12">
        <v>63.7</v>
      </c>
      <c r="H17" s="12">
        <v>67.5</v>
      </c>
      <c r="I17" s="12">
        <v>69.2</v>
      </c>
      <c r="J17" s="12">
        <v>73</v>
      </c>
      <c r="K17" s="12">
        <v>76.3</v>
      </c>
      <c r="L17" s="12">
        <v>79.099999999999994</v>
      </c>
      <c r="M17" s="12"/>
      <c r="N17" s="11" t="s">
        <v>19</v>
      </c>
      <c r="O17" s="13">
        <v>40976</v>
      </c>
      <c r="P17" s="13">
        <v>42518</v>
      </c>
      <c r="Q17" s="13">
        <v>41438</v>
      </c>
      <c r="R17" s="13">
        <v>38194</v>
      </c>
      <c r="S17" s="13">
        <v>38595</v>
      </c>
      <c r="T17" s="13">
        <v>40226</v>
      </c>
      <c r="U17" s="13">
        <v>42319</v>
      </c>
      <c r="V17" s="13">
        <v>42949</v>
      </c>
      <c r="W17" s="13">
        <v>44774</v>
      </c>
      <c r="X17" s="13">
        <v>46283</v>
      </c>
      <c r="Y17" s="13">
        <v>47093</v>
      </c>
      <c r="Z17" s="14"/>
      <c r="AA17" s="11" t="s">
        <v>19</v>
      </c>
      <c r="AB17" s="14">
        <v>78.7</v>
      </c>
      <c r="AC17" s="14">
        <v>77.900000000000006</v>
      </c>
      <c r="AD17" s="14">
        <v>77.5</v>
      </c>
      <c r="AE17" s="14">
        <v>75.8</v>
      </c>
      <c r="AF17" s="14">
        <v>74.400000000000006</v>
      </c>
      <c r="AG17" s="14">
        <v>74.3</v>
      </c>
      <c r="AH17" s="14">
        <v>73.900000000000006</v>
      </c>
      <c r="AI17" s="14">
        <v>74.7</v>
      </c>
      <c r="AJ17" s="14">
        <v>74</v>
      </c>
      <c r="AK17" s="14">
        <v>73.900000000000006</v>
      </c>
      <c r="AL17" s="14">
        <v>74.5</v>
      </c>
    </row>
    <row r="18" spans="1:38" ht="15.75" x14ac:dyDescent="0.25">
      <c r="A18" s="11" t="s">
        <v>20</v>
      </c>
      <c r="B18" s="12">
        <v>701.7</v>
      </c>
      <c r="C18" s="12">
        <v>740.5</v>
      </c>
      <c r="D18" s="12">
        <v>719.8</v>
      </c>
      <c r="E18" s="12">
        <v>688.1</v>
      </c>
      <c r="F18" s="12">
        <v>706.1</v>
      </c>
      <c r="G18" s="12">
        <v>741.6</v>
      </c>
      <c r="H18" s="12">
        <v>793.1</v>
      </c>
      <c r="I18" s="12">
        <v>790.5</v>
      </c>
      <c r="J18" s="12">
        <v>836.4</v>
      </c>
      <c r="K18" s="12">
        <v>870.1</v>
      </c>
      <c r="L18" s="12">
        <v>879.8</v>
      </c>
      <c r="M18" s="12"/>
      <c r="N18" s="11" t="s">
        <v>20</v>
      </c>
      <c r="O18" s="13">
        <v>55499</v>
      </c>
      <c r="P18" s="13">
        <v>58323</v>
      </c>
      <c r="Q18" s="13">
        <v>56465</v>
      </c>
      <c r="R18" s="13">
        <v>53774</v>
      </c>
      <c r="S18" s="13">
        <v>54989</v>
      </c>
      <c r="T18" s="13">
        <v>57654</v>
      </c>
      <c r="U18" s="13">
        <v>61584</v>
      </c>
      <c r="V18" s="13">
        <v>61327</v>
      </c>
      <c r="W18" s="13">
        <v>64925</v>
      </c>
      <c r="X18" s="13">
        <v>67652</v>
      </c>
      <c r="Y18" s="13">
        <v>68546</v>
      </c>
      <c r="Z18" s="14"/>
      <c r="AA18" s="11" t="s">
        <v>20</v>
      </c>
      <c r="AB18" s="14">
        <v>106.5</v>
      </c>
      <c r="AC18" s="14">
        <v>106.8</v>
      </c>
      <c r="AD18" s="14">
        <v>105.7</v>
      </c>
      <c r="AE18" s="14">
        <v>106.8</v>
      </c>
      <c r="AF18" s="14">
        <v>105.9</v>
      </c>
      <c r="AG18" s="14">
        <v>106.5</v>
      </c>
      <c r="AH18" s="14">
        <v>107.5</v>
      </c>
      <c r="AI18" s="14">
        <v>106.7</v>
      </c>
      <c r="AJ18" s="14">
        <v>107.3</v>
      </c>
      <c r="AK18" s="14">
        <v>108</v>
      </c>
      <c r="AL18" s="14">
        <v>108.4</v>
      </c>
    </row>
    <row r="19" spans="1:38" ht="15.75" x14ac:dyDescent="0.25">
      <c r="A19" s="11" t="s">
        <v>21</v>
      </c>
      <c r="B19" s="12">
        <v>286.7</v>
      </c>
      <c r="C19" s="12">
        <v>305.10000000000002</v>
      </c>
      <c r="D19" s="12">
        <v>302.39999999999998</v>
      </c>
      <c r="E19" s="12">
        <v>286.2</v>
      </c>
      <c r="F19" s="12">
        <v>306.39999999999998</v>
      </c>
      <c r="G19" s="12">
        <v>320.2</v>
      </c>
      <c r="H19" s="12">
        <v>333.9</v>
      </c>
      <c r="I19" s="12">
        <v>341</v>
      </c>
      <c r="J19" s="12">
        <v>360</v>
      </c>
      <c r="K19" s="12">
        <v>370.1</v>
      </c>
      <c r="L19" s="12">
        <v>380.4</v>
      </c>
      <c r="M19" s="12"/>
      <c r="N19" s="11" t="s">
        <v>21</v>
      </c>
      <c r="O19" s="13">
        <v>45278</v>
      </c>
      <c r="P19" s="13">
        <v>47822</v>
      </c>
      <c r="Q19" s="13">
        <v>47063</v>
      </c>
      <c r="R19" s="13">
        <v>44301</v>
      </c>
      <c r="S19" s="13">
        <v>47216</v>
      </c>
      <c r="T19" s="13">
        <v>49153</v>
      </c>
      <c r="U19" s="13">
        <v>51082</v>
      </c>
      <c r="V19" s="13">
        <v>51923</v>
      </c>
      <c r="W19" s="13">
        <v>54602</v>
      </c>
      <c r="X19" s="13">
        <v>55993</v>
      </c>
      <c r="Y19" s="13">
        <v>57348</v>
      </c>
      <c r="Z19" s="14"/>
      <c r="AA19" s="11" t="s">
        <v>21</v>
      </c>
      <c r="AB19" s="14">
        <v>86.9</v>
      </c>
      <c r="AC19" s="14">
        <v>87.6</v>
      </c>
      <c r="AD19" s="14">
        <v>88.1</v>
      </c>
      <c r="AE19" s="14">
        <v>88</v>
      </c>
      <c r="AF19" s="14">
        <v>91</v>
      </c>
      <c r="AG19" s="14">
        <v>90.8</v>
      </c>
      <c r="AH19" s="14">
        <v>89.2</v>
      </c>
      <c r="AI19" s="14">
        <v>90.3</v>
      </c>
      <c r="AJ19" s="14">
        <v>90.2</v>
      </c>
      <c r="AK19" s="14">
        <v>89.4</v>
      </c>
      <c r="AL19" s="14">
        <v>90.7</v>
      </c>
    </row>
    <row r="20" spans="1:38" ht="15.75" x14ac:dyDescent="0.25">
      <c r="A20" s="11" t="s">
        <v>22</v>
      </c>
      <c r="B20" s="12">
        <v>142.4</v>
      </c>
      <c r="C20" s="12">
        <v>154.9</v>
      </c>
      <c r="D20" s="12">
        <v>153.19999999999999</v>
      </c>
      <c r="E20" s="12">
        <v>149.4</v>
      </c>
      <c r="F20" s="12">
        <v>153.9</v>
      </c>
      <c r="G20" s="12">
        <v>163.6</v>
      </c>
      <c r="H20" s="12">
        <v>176.9</v>
      </c>
      <c r="I20" s="12">
        <v>177.7</v>
      </c>
      <c r="J20" s="12">
        <v>189</v>
      </c>
      <c r="K20" s="12">
        <v>199.1</v>
      </c>
      <c r="L20" s="12">
        <v>202.9</v>
      </c>
      <c r="M20" s="12"/>
      <c r="N20" s="11" t="s">
        <v>22</v>
      </c>
      <c r="O20" s="13">
        <v>47743</v>
      </c>
      <c r="P20" s="13">
        <v>51662</v>
      </c>
      <c r="Q20" s="13">
        <v>50775</v>
      </c>
      <c r="R20" s="13">
        <v>49244</v>
      </c>
      <c r="S20" s="13">
        <v>50455</v>
      </c>
      <c r="T20" s="13">
        <v>53387</v>
      </c>
      <c r="U20" s="13">
        <v>57550</v>
      </c>
      <c r="V20" s="13">
        <v>57514</v>
      </c>
      <c r="W20" s="13">
        <v>60873</v>
      </c>
      <c r="X20" s="13">
        <v>63847</v>
      </c>
      <c r="Y20" s="13">
        <v>64801</v>
      </c>
      <c r="Z20" s="14"/>
      <c r="AA20" s="11" t="s">
        <v>22</v>
      </c>
      <c r="AB20" s="14">
        <v>91.7</v>
      </c>
      <c r="AC20" s="14">
        <v>94.6</v>
      </c>
      <c r="AD20" s="14">
        <v>95</v>
      </c>
      <c r="AE20" s="14">
        <v>97.8</v>
      </c>
      <c r="AF20" s="14">
        <v>97.2</v>
      </c>
      <c r="AG20" s="14">
        <v>98.6</v>
      </c>
      <c r="AH20" s="14">
        <v>100.5</v>
      </c>
      <c r="AI20" s="14">
        <v>100.1</v>
      </c>
      <c r="AJ20" s="14">
        <v>100.6</v>
      </c>
      <c r="AK20" s="14">
        <v>102</v>
      </c>
      <c r="AL20" s="14">
        <v>102.5</v>
      </c>
    </row>
    <row r="21" spans="1:38" ht="15.75" x14ac:dyDescent="0.25">
      <c r="A21" s="11" t="s">
        <v>23</v>
      </c>
      <c r="B21" s="12">
        <v>132.4</v>
      </c>
      <c r="C21" s="12">
        <v>144.6</v>
      </c>
      <c r="D21" s="12">
        <v>149</v>
      </c>
      <c r="E21" s="12">
        <v>140.19999999999999</v>
      </c>
      <c r="F21" s="12">
        <v>144.9</v>
      </c>
      <c r="G21" s="12">
        <v>155.69999999999999</v>
      </c>
      <c r="H21" s="12">
        <v>163.80000000000001</v>
      </c>
      <c r="I21" s="12">
        <v>163.30000000000001</v>
      </c>
      <c r="J21" s="12">
        <v>171.5</v>
      </c>
      <c r="K21" s="12">
        <v>175.1</v>
      </c>
      <c r="L21" s="12">
        <v>177</v>
      </c>
      <c r="M21" s="12"/>
      <c r="N21" s="11" t="s">
        <v>23</v>
      </c>
      <c r="O21" s="13">
        <v>47919</v>
      </c>
      <c r="P21" s="13">
        <v>51947</v>
      </c>
      <c r="Q21" s="13">
        <v>53049</v>
      </c>
      <c r="R21" s="13">
        <v>49505</v>
      </c>
      <c r="S21" s="13">
        <v>50704</v>
      </c>
      <c r="T21" s="13">
        <v>54259</v>
      </c>
      <c r="U21" s="13">
        <v>56787</v>
      </c>
      <c r="V21" s="13">
        <v>56453</v>
      </c>
      <c r="W21" s="13">
        <v>59148</v>
      </c>
      <c r="X21" s="13">
        <v>60274</v>
      </c>
      <c r="Y21" s="13">
        <v>60872</v>
      </c>
      <c r="Z21" s="14"/>
      <c r="AA21" s="11" t="s">
        <v>23</v>
      </c>
      <c r="AB21" s="14">
        <v>92</v>
      </c>
      <c r="AC21" s="14">
        <v>95.1</v>
      </c>
      <c r="AD21" s="14">
        <v>99.3</v>
      </c>
      <c r="AE21" s="14">
        <v>98.3</v>
      </c>
      <c r="AF21" s="14">
        <v>97.7</v>
      </c>
      <c r="AG21" s="14">
        <v>100.2</v>
      </c>
      <c r="AH21" s="14">
        <v>99.1</v>
      </c>
      <c r="AI21" s="14">
        <v>98.2</v>
      </c>
      <c r="AJ21" s="14">
        <v>97.7</v>
      </c>
      <c r="AK21" s="14">
        <v>96.3</v>
      </c>
      <c r="AL21" s="14">
        <v>96.3</v>
      </c>
    </row>
    <row r="22" spans="1:38" ht="15.75" x14ac:dyDescent="0.25">
      <c r="A22" s="11" t="s">
        <v>24</v>
      </c>
      <c r="B22" s="12">
        <v>169.6</v>
      </c>
      <c r="C22" s="12">
        <v>175.5</v>
      </c>
      <c r="D22" s="12">
        <v>176.2</v>
      </c>
      <c r="E22" s="12">
        <v>169.6</v>
      </c>
      <c r="F22" s="12">
        <v>179.3</v>
      </c>
      <c r="G22" s="12">
        <v>187.2</v>
      </c>
      <c r="H22" s="12">
        <v>196.5</v>
      </c>
      <c r="I22" s="12">
        <v>197.4</v>
      </c>
      <c r="J22" s="12">
        <v>204.9</v>
      </c>
      <c r="K22" s="12">
        <v>211.3</v>
      </c>
      <c r="L22" s="12">
        <v>214.9</v>
      </c>
      <c r="M22" s="12"/>
      <c r="N22" s="11" t="s">
        <v>24</v>
      </c>
      <c r="O22" s="13">
        <v>40201</v>
      </c>
      <c r="P22" s="13">
        <v>41232</v>
      </c>
      <c r="Q22" s="13">
        <v>41078</v>
      </c>
      <c r="R22" s="13">
        <v>39283</v>
      </c>
      <c r="S22" s="13">
        <v>41247</v>
      </c>
      <c r="T22" s="13">
        <v>42850</v>
      </c>
      <c r="U22" s="13">
        <v>44831</v>
      </c>
      <c r="V22" s="13">
        <v>44874</v>
      </c>
      <c r="W22" s="13">
        <v>46459</v>
      </c>
      <c r="X22" s="13">
        <v>47787</v>
      </c>
      <c r="Y22" s="13">
        <v>48436</v>
      </c>
      <c r="Z22" s="14"/>
      <c r="AA22" s="11" t="s">
        <v>24</v>
      </c>
      <c r="AB22" s="14">
        <v>77.2</v>
      </c>
      <c r="AC22" s="14">
        <v>75.5</v>
      </c>
      <c r="AD22" s="14">
        <v>76.900000000000006</v>
      </c>
      <c r="AE22" s="14">
        <v>78</v>
      </c>
      <c r="AF22" s="14">
        <v>79.5</v>
      </c>
      <c r="AG22" s="14">
        <v>79.2</v>
      </c>
      <c r="AH22" s="14">
        <v>78.3</v>
      </c>
      <c r="AI22" s="14">
        <v>78.099999999999994</v>
      </c>
      <c r="AJ22" s="14">
        <v>76.8</v>
      </c>
      <c r="AK22" s="14">
        <v>76.3</v>
      </c>
      <c r="AL22" s="14">
        <v>76.599999999999994</v>
      </c>
    </row>
    <row r="23" spans="1:38" ht="15.75" x14ac:dyDescent="0.25">
      <c r="A23" s="11" t="s">
        <v>25</v>
      </c>
      <c r="B23" s="12">
        <v>220.4</v>
      </c>
      <c r="C23" s="12">
        <v>220</v>
      </c>
      <c r="D23" s="12">
        <v>229.7</v>
      </c>
      <c r="E23" s="12">
        <v>219.2</v>
      </c>
      <c r="F23" s="12">
        <v>240.2</v>
      </c>
      <c r="G23" s="12">
        <v>243.9</v>
      </c>
      <c r="H23" s="12">
        <v>254.9</v>
      </c>
      <c r="I23" s="12">
        <v>244.1</v>
      </c>
      <c r="J23" s="12">
        <v>257.7</v>
      </c>
      <c r="K23" s="12">
        <v>257.5</v>
      </c>
      <c r="L23" s="12">
        <v>254.1</v>
      </c>
      <c r="M23" s="12"/>
      <c r="N23" s="11" t="s">
        <v>25</v>
      </c>
      <c r="O23" s="13">
        <v>51230</v>
      </c>
      <c r="P23" s="13">
        <v>50268</v>
      </c>
      <c r="Q23" s="13">
        <v>51785</v>
      </c>
      <c r="R23" s="13">
        <v>48809</v>
      </c>
      <c r="S23" s="13">
        <v>52844</v>
      </c>
      <c r="T23" s="13">
        <v>53328</v>
      </c>
      <c r="U23" s="13">
        <v>55382</v>
      </c>
      <c r="V23" s="13">
        <v>52754</v>
      </c>
      <c r="W23" s="13">
        <v>55436</v>
      </c>
      <c r="X23" s="13">
        <v>55119</v>
      </c>
      <c r="Y23" s="13">
        <v>54229</v>
      </c>
      <c r="Z23" s="14"/>
      <c r="AA23" s="11" t="s">
        <v>25</v>
      </c>
      <c r="AB23" s="14">
        <v>98.3</v>
      </c>
      <c r="AC23" s="14">
        <v>92.1</v>
      </c>
      <c r="AD23" s="14">
        <v>96.9</v>
      </c>
      <c r="AE23" s="14">
        <v>96.9</v>
      </c>
      <c r="AF23" s="14">
        <v>101.8</v>
      </c>
      <c r="AG23" s="14">
        <v>98.5</v>
      </c>
      <c r="AH23" s="14">
        <v>96.7</v>
      </c>
      <c r="AI23" s="14">
        <v>91.8</v>
      </c>
      <c r="AJ23" s="14">
        <v>91.6</v>
      </c>
      <c r="AK23" s="14">
        <v>88</v>
      </c>
      <c r="AL23" s="14">
        <v>85.8</v>
      </c>
    </row>
    <row r="24" spans="1:38" ht="15.75" x14ac:dyDescent="0.25">
      <c r="A24" s="15" t="s">
        <v>26</v>
      </c>
      <c r="B24" s="16">
        <v>55.2</v>
      </c>
      <c r="C24" s="16">
        <v>57.1</v>
      </c>
      <c r="D24" s="16">
        <v>56</v>
      </c>
      <c r="E24" s="16">
        <v>55.4</v>
      </c>
      <c r="F24" s="16">
        <v>56.5</v>
      </c>
      <c r="G24" s="16">
        <v>57.3</v>
      </c>
      <c r="H24" s="16">
        <v>59.6</v>
      </c>
      <c r="I24" s="16">
        <v>59.5</v>
      </c>
      <c r="J24" s="16">
        <v>62.6</v>
      </c>
      <c r="K24" s="16">
        <v>64.8</v>
      </c>
      <c r="L24" s="16">
        <v>66.900000000000006</v>
      </c>
      <c r="M24" s="12"/>
      <c r="N24" s="15" t="s">
        <v>26</v>
      </c>
      <c r="O24" s="17">
        <v>41684</v>
      </c>
      <c r="P24" s="17">
        <v>43059</v>
      </c>
      <c r="Q24" s="17">
        <v>42074</v>
      </c>
      <c r="R24" s="17">
        <v>41637</v>
      </c>
      <c r="S24" s="17">
        <v>42540</v>
      </c>
      <c r="T24" s="17">
        <v>43168</v>
      </c>
      <c r="U24" s="17">
        <v>44908</v>
      </c>
      <c r="V24" s="17">
        <v>44819</v>
      </c>
      <c r="W24" s="17">
        <v>47120</v>
      </c>
      <c r="X24" s="17">
        <v>48799</v>
      </c>
      <c r="Y24" s="17">
        <v>50313</v>
      </c>
      <c r="Z24" s="19"/>
      <c r="AA24" s="15" t="s">
        <v>26</v>
      </c>
      <c r="AB24" s="18">
        <v>80</v>
      </c>
      <c r="AC24" s="18">
        <v>78.8</v>
      </c>
      <c r="AD24" s="18">
        <v>78.7</v>
      </c>
      <c r="AE24" s="18">
        <v>82.7</v>
      </c>
      <c r="AF24" s="18">
        <v>82</v>
      </c>
      <c r="AG24" s="18">
        <v>79.7</v>
      </c>
      <c r="AH24" s="18">
        <v>78.400000000000006</v>
      </c>
      <c r="AI24" s="18">
        <v>78</v>
      </c>
      <c r="AJ24" s="18">
        <v>77.900000000000006</v>
      </c>
      <c r="AK24" s="18">
        <v>77.900000000000006</v>
      </c>
      <c r="AL24" s="18">
        <v>79.599999999999994</v>
      </c>
    </row>
    <row r="25" spans="1:38" ht="15.75" x14ac:dyDescent="0.25">
      <c r="A25" s="11" t="s">
        <v>27</v>
      </c>
      <c r="B25" s="12">
        <v>342</v>
      </c>
      <c r="C25" s="12">
        <v>358.1</v>
      </c>
      <c r="D25" s="12">
        <v>355.6</v>
      </c>
      <c r="E25" s="12">
        <v>353.6</v>
      </c>
      <c r="F25" s="12">
        <v>366.9</v>
      </c>
      <c r="G25" s="12">
        <v>384.1</v>
      </c>
      <c r="H25" s="12">
        <v>398.1</v>
      </c>
      <c r="I25" s="12">
        <v>398.1</v>
      </c>
      <c r="J25" s="12">
        <v>415.6</v>
      </c>
      <c r="K25" s="12">
        <v>432.5</v>
      </c>
      <c r="L25" s="12">
        <v>446.4</v>
      </c>
      <c r="M25" s="12"/>
      <c r="N25" s="11" t="s">
        <v>27</v>
      </c>
      <c r="O25" s="13">
        <v>60779</v>
      </c>
      <c r="P25" s="13">
        <v>63345</v>
      </c>
      <c r="Q25" s="13">
        <v>62551</v>
      </c>
      <c r="R25" s="13">
        <v>61708</v>
      </c>
      <c r="S25" s="13">
        <v>63396</v>
      </c>
      <c r="T25" s="13">
        <v>65739</v>
      </c>
      <c r="U25" s="13">
        <v>67573</v>
      </c>
      <c r="V25" s="13">
        <v>67099</v>
      </c>
      <c r="W25" s="13">
        <v>69609</v>
      </c>
      <c r="X25" s="13">
        <v>72069</v>
      </c>
      <c r="Y25" s="13">
        <v>74087</v>
      </c>
      <c r="Z25" s="14"/>
      <c r="AA25" s="11" t="s">
        <v>27</v>
      </c>
      <c r="AB25" s="14">
        <v>116.7</v>
      </c>
      <c r="AC25" s="14">
        <v>116</v>
      </c>
      <c r="AD25" s="14">
        <v>117</v>
      </c>
      <c r="AE25" s="14">
        <v>122.5</v>
      </c>
      <c r="AF25" s="14">
        <v>122.1</v>
      </c>
      <c r="AG25" s="14">
        <v>121.4</v>
      </c>
      <c r="AH25" s="14">
        <v>118</v>
      </c>
      <c r="AI25" s="14">
        <v>116.7</v>
      </c>
      <c r="AJ25" s="14">
        <v>115</v>
      </c>
      <c r="AK25" s="14">
        <v>115.1</v>
      </c>
      <c r="AL25" s="14">
        <v>117.2</v>
      </c>
    </row>
    <row r="26" spans="1:38" ht="15.75" x14ac:dyDescent="0.25">
      <c r="A26" s="11" t="s">
        <v>28</v>
      </c>
      <c r="B26" s="12">
        <v>414.5</v>
      </c>
      <c r="C26" s="12">
        <v>440.8</v>
      </c>
      <c r="D26" s="12">
        <v>428.6</v>
      </c>
      <c r="E26" s="12">
        <v>415.3</v>
      </c>
      <c r="F26" s="12">
        <v>437.6</v>
      </c>
      <c r="G26" s="12">
        <v>460.1</v>
      </c>
      <c r="H26" s="12">
        <v>490.8</v>
      </c>
      <c r="I26" s="12">
        <v>491.3</v>
      </c>
      <c r="J26" s="12">
        <v>521.5</v>
      </c>
      <c r="K26" s="12">
        <v>553.1</v>
      </c>
      <c r="L26" s="12">
        <v>562.5</v>
      </c>
      <c r="M26" s="12"/>
      <c r="N26" s="11" t="s">
        <v>28</v>
      </c>
      <c r="O26" s="13">
        <v>64659</v>
      </c>
      <c r="P26" s="13">
        <v>68538</v>
      </c>
      <c r="Q26" s="13">
        <v>66255</v>
      </c>
      <c r="R26" s="13">
        <v>63725</v>
      </c>
      <c r="S26" s="13">
        <v>66655</v>
      </c>
      <c r="T26" s="13">
        <v>69580</v>
      </c>
      <c r="U26" s="13">
        <v>73700</v>
      </c>
      <c r="V26" s="13">
        <v>73205</v>
      </c>
      <c r="W26" s="13">
        <v>77165</v>
      </c>
      <c r="X26" s="13">
        <v>81408</v>
      </c>
      <c r="Y26" s="13">
        <v>82427</v>
      </c>
      <c r="Z26" s="14"/>
      <c r="AA26" s="11" t="s">
        <v>28</v>
      </c>
      <c r="AB26" s="14">
        <v>124.1</v>
      </c>
      <c r="AC26" s="14">
        <v>125.5</v>
      </c>
      <c r="AD26" s="14">
        <v>124</v>
      </c>
      <c r="AE26" s="14">
        <v>126.5</v>
      </c>
      <c r="AF26" s="14">
        <v>128.4</v>
      </c>
      <c r="AG26" s="14">
        <v>128.5</v>
      </c>
      <c r="AH26" s="14">
        <v>128.69999999999999</v>
      </c>
      <c r="AI26" s="14">
        <v>127.4</v>
      </c>
      <c r="AJ26" s="14">
        <v>127.5</v>
      </c>
      <c r="AK26" s="14">
        <v>130</v>
      </c>
      <c r="AL26" s="14">
        <v>130.4</v>
      </c>
    </row>
    <row r="27" spans="1:38" ht="15.75" x14ac:dyDescent="0.25">
      <c r="A27" s="11" t="s">
        <v>29</v>
      </c>
      <c r="B27" s="12">
        <v>433</v>
      </c>
      <c r="C27" s="12">
        <v>446.4</v>
      </c>
      <c r="D27" s="12">
        <v>419.9</v>
      </c>
      <c r="E27" s="12">
        <v>390.2</v>
      </c>
      <c r="F27" s="12">
        <v>412.8</v>
      </c>
      <c r="G27" s="12">
        <v>435.6</v>
      </c>
      <c r="H27" s="12">
        <v>462.3</v>
      </c>
      <c r="I27" s="12">
        <v>471.8</v>
      </c>
      <c r="J27" s="12">
        <v>495.5</v>
      </c>
      <c r="K27" s="12">
        <v>523.4</v>
      </c>
      <c r="L27" s="12">
        <v>537.70000000000005</v>
      </c>
      <c r="M27" s="12"/>
      <c r="N27" s="11" t="s">
        <v>29</v>
      </c>
      <c r="O27" s="13">
        <v>43147</v>
      </c>
      <c r="P27" s="13">
        <v>44639</v>
      </c>
      <c r="Q27" s="13">
        <v>42215</v>
      </c>
      <c r="R27" s="13">
        <v>39408</v>
      </c>
      <c r="S27" s="13">
        <v>41791</v>
      </c>
      <c r="T27" s="13">
        <v>44104</v>
      </c>
      <c r="U27" s="13">
        <v>46763</v>
      </c>
      <c r="V27" s="13">
        <v>47659</v>
      </c>
      <c r="W27" s="13">
        <v>49977</v>
      </c>
      <c r="X27" s="13">
        <v>52776</v>
      </c>
      <c r="Y27" s="13">
        <v>54130</v>
      </c>
      <c r="Z27" s="14"/>
      <c r="AA27" s="11" t="s">
        <v>29</v>
      </c>
      <c r="AB27" s="14">
        <v>82.8</v>
      </c>
      <c r="AC27" s="14">
        <v>81.7</v>
      </c>
      <c r="AD27" s="14">
        <v>79</v>
      </c>
      <c r="AE27" s="14">
        <v>78.2</v>
      </c>
      <c r="AF27" s="14">
        <v>80.5</v>
      </c>
      <c r="AG27" s="14">
        <v>81.5</v>
      </c>
      <c r="AH27" s="14">
        <v>81.599999999999994</v>
      </c>
      <c r="AI27" s="14">
        <v>82.9</v>
      </c>
      <c r="AJ27" s="14">
        <v>82.6</v>
      </c>
      <c r="AK27" s="14">
        <v>84.3</v>
      </c>
      <c r="AL27" s="14">
        <v>85.6</v>
      </c>
    </row>
    <row r="28" spans="1:38" ht="15.75" x14ac:dyDescent="0.25">
      <c r="A28" s="11" t="s">
        <v>30</v>
      </c>
      <c r="B28" s="12">
        <v>274.7</v>
      </c>
      <c r="C28" s="12">
        <v>288.5</v>
      </c>
      <c r="D28" s="12">
        <v>287.10000000000002</v>
      </c>
      <c r="E28" s="12">
        <v>273.3</v>
      </c>
      <c r="F28" s="12">
        <v>286.89999999999998</v>
      </c>
      <c r="G28" s="12">
        <v>303.39999999999998</v>
      </c>
      <c r="H28" s="12">
        <v>322.60000000000002</v>
      </c>
      <c r="I28" s="12">
        <v>326.89999999999998</v>
      </c>
      <c r="J28" s="12">
        <v>346.9</v>
      </c>
      <c r="K28" s="12">
        <v>357.8</v>
      </c>
      <c r="L28" s="12">
        <v>366.8</v>
      </c>
      <c r="M28" s="12"/>
      <c r="N28" s="11" t="s">
        <v>30</v>
      </c>
      <c r="O28" s="13">
        <v>53205</v>
      </c>
      <c r="P28" s="13">
        <v>55403</v>
      </c>
      <c r="Q28" s="13">
        <v>54725</v>
      </c>
      <c r="R28" s="13">
        <v>51748</v>
      </c>
      <c r="S28" s="13">
        <v>54028</v>
      </c>
      <c r="T28" s="13">
        <v>56749</v>
      </c>
      <c r="U28" s="13">
        <v>59985</v>
      </c>
      <c r="V28" s="13">
        <v>60362</v>
      </c>
      <c r="W28" s="13">
        <v>63629</v>
      </c>
      <c r="X28" s="13">
        <v>65252</v>
      </c>
      <c r="Y28" s="13">
        <v>66396</v>
      </c>
      <c r="Z28" s="14"/>
      <c r="AA28" s="11" t="s">
        <v>30</v>
      </c>
      <c r="AB28" s="14">
        <v>102.1</v>
      </c>
      <c r="AC28" s="14">
        <v>101.5</v>
      </c>
      <c r="AD28" s="14">
        <v>102.4</v>
      </c>
      <c r="AE28" s="14">
        <v>102.8</v>
      </c>
      <c r="AF28" s="14">
        <v>104.1</v>
      </c>
      <c r="AG28" s="14">
        <v>104.8</v>
      </c>
      <c r="AH28" s="14">
        <v>104.7</v>
      </c>
      <c r="AI28" s="14">
        <v>105</v>
      </c>
      <c r="AJ28" s="14">
        <v>105.1</v>
      </c>
      <c r="AK28" s="14">
        <v>104.2</v>
      </c>
      <c r="AL28" s="14">
        <v>105</v>
      </c>
    </row>
    <row r="29" spans="1:38" ht="15.75" x14ac:dyDescent="0.25">
      <c r="A29" s="11" t="s">
        <v>31</v>
      </c>
      <c r="B29" s="12">
        <v>98.8</v>
      </c>
      <c r="C29" s="12">
        <v>105</v>
      </c>
      <c r="D29" s="12">
        <v>110</v>
      </c>
      <c r="E29" s="12">
        <v>104.4</v>
      </c>
      <c r="F29" s="12">
        <v>106.4</v>
      </c>
      <c r="G29" s="12">
        <v>109</v>
      </c>
      <c r="H29" s="12">
        <v>115.6</v>
      </c>
      <c r="I29" s="12">
        <v>116</v>
      </c>
      <c r="J29" s="12">
        <v>118.8</v>
      </c>
      <c r="K29" s="12">
        <v>120.8</v>
      </c>
      <c r="L29" s="12">
        <v>123.6</v>
      </c>
      <c r="M29" s="12"/>
      <c r="N29" s="11" t="s">
        <v>31</v>
      </c>
      <c r="O29" s="13">
        <v>34011</v>
      </c>
      <c r="P29" s="13">
        <v>35862</v>
      </c>
      <c r="Q29" s="13">
        <v>37329</v>
      </c>
      <c r="R29" s="13">
        <v>35284</v>
      </c>
      <c r="S29" s="13">
        <v>35823</v>
      </c>
      <c r="T29" s="13">
        <v>36619</v>
      </c>
      <c r="U29" s="13">
        <v>38758</v>
      </c>
      <c r="V29" s="13">
        <v>38818</v>
      </c>
      <c r="W29" s="13">
        <v>39740</v>
      </c>
      <c r="X29" s="13">
        <v>40468</v>
      </c>
      <c r="Y29" s="13">
        <v>41391</v>
      </c>
      <c r="Z29" s="14"/>
      <c r="AA29" s="11" t="s">
        <v>31</v>
      </c>
      <c r="AB29" s="14">
        <v>65.3</v>
      </c>
      <c r="AC29" s="14">
        <v>65.7</v>
      </c>
      <c r="AD29" s="14">
        <v>69.8</v>
      </c>
      <c r="AE29" s="14">
        <v>70.099999999999994</v>
      </c>
      <c r="AF29" s="14">
        <v>69</v>
      </c>
      <c r="AG29" s="14">
        <v>67.599999999999994</v>
      </c>
      <c r="AH29" s="14">
        <v>67.7</v>
      </c>
      <c r="AI29" s="14">
        <v>67.5</v>
      </c>
      <c r="AJ29" s="14">
        <v>65.7</v>
      </c>
      <c r="AK29" s="14">
        <v>64.599999999999994</v>
      </c>
      <c r="AL29" s="14">
        <v>65.5</v>
      </c>
    </row>
    <row r="30" spans="1:38" ht="15.75" x14ac:dyDescent="0.25">
      <c r="A30" s="11" t="s">
        <v>32</v>
      </c>
      <c r="B30" s="12">
        <v>262.8</v>
      </c>
      <c r="C30" s="12">
        <v>275.60000000000002</v>
      </c>
      <c r="D30" s="12">
        <v>280.89999999999998</v>
      </c>
      <c r="E30" s="12">
        <v>272.8</v>
      </c>
      <c r="F30" s="12">
        <v>279.7</v>
      </c>
      <c r="G30" s="12">
        <v>285.5</v>
      </c>
      <c r="H30" s="12">
        <v>301.8</v>
      </c>
      <c r="I30" s="12">
        <v>305.89999999999998</v>
      </c>
      <c r="J30" s="12">
        <v>318.39999999999998</v>
      </c>
      <c r="K30" s="12">
        <v>329.5</v>
      </c>
      <c r="L30" s="12">
        <v>331.7</v>
      </c>
      <c r="M30" s="12"/>
      <c r="N30" s="11" t="s">
        <v>32</v>
      </c>
      <c r="O30" s="13">
        <v>44973</v>
      </c>
      <c r="P30" s="13">
        <v>46811</v>
      </c>
      <c r="Q30" s="13">
        <v>47416</v>
      </c>
      <c r="R30" s="13">
        <v>45768</v>
      </c>
      <c r="S30" s="13">
        <v>46644</v>
      </c>
      <c r="T30" s="13">
        <v>47496</v>
      </c>
      <c r="U30" s="13">
        <v>50105</v>
      </c>
      <c r="V30" s="13">
        <v>50630</v>
      </c>
      <c r="W30" s="13">
        <v>52562</v>
      </c>
      <c r="X30" s="13">
        <v>54256</v>
      </c>
      <c r="Y30" s="13">
        <v>54455</v>
      </c>
      <c r="Z30" s="14"/>
      <c r="AA30" s="11" t="s">
        <v>32</v>
      </c>
      <c r="AB30" s="14">
        <v>86.3</v>
      </c>
      <c r="AC30" s="14">
        <v>85.7</v>
      </c>
      <c r="AD30" s="14">
        <v>88.7</v>
      </c>
      <c r="AE30" s="14">
        <v>90.9</v>
      </c>
      <c r="AF30" s="14">
        <v>89.9</v>
      </c>
      <c r="AG30" s="14">
        <v>87.7</v>
      </c>
      <c r="AH30" s="14">
        <v>87.5</v>
      </c>
      <c r="AI30" s="14">
        <v>88.1</v>
      </c>
      <c r="AJ30" s="14">
        <v>86.9</v>
      </c>
      <c r="AK30" s="14">
        <v>86.6</v>
      </c>
      <c r="AL30" s="14">
        <v>86.1</v>
      </c>
    </row>
    <row r="31" spans="1:38" ht="15.75" x14ac:dyDescent="0.25">
      <c r="A31" s="11" t="s">
        <v>33</v>
      </c>
      <c r="B31" s="12">
        <v>38.4</v>
      </c>
      <c r="C31" s="12">
        <v>42.3</v>
      </c>
      <c r="D31" s="12">
        <v>42.4</v>
      </c>
      <c r="E31" s="12">
        <v>40.1</v>
      </c>
      <c r="F31" s="12">
        <v>42.2</v>
      </c>
      <c r="G31" s="12">
        <v>45.8</v>
      </c>
      <c r="H31" s="12">
        <v>48.9</v>
      </c>
      <c r="I31" s="12">
        <v>48.4</v>
      </c>
      <c r="J31" s="12">
        <v>51.5</v>
      </c>
      <c r="K31" s="12">
        <v>52.9</v>
      </c>
      <c r="L31" s="12">
        <v>52.7</v>
      </c>
      <c r="M31" s="12"/>
      <c r="N31" s="11" t="s">
        <v>33</v>
      </c>
      <c r="O31" s="13">
        <v>40313</v>
      </c>
      <c r="P31" s="13">
        <v>43815</v>
      </c>
      <c r="Q31" s="13">
        <v>43414</v>
      </c>
      <c r="R31" s="13">
        <v>40731</v>
      </c>
      <c r="S31" s="13">
        <v>42564</v>
      </c>
      <c r="T31" s="13">
        <v>45943</v>
      </c>
      <c r="U31" s="13">
        <v>48692</v>
      </c>
      <c r="V31" s="13">
        <v>47874</v>
      </c>
      <c r="W31" s="13">
        <v>50474</v>
      </c>
      <c r="X31" s="13">
        <v>51465</v>
      </c>
      <c r="Y31" s="13">
        <v>50714</v>
      </c>
      <c r="Z31" s="14"/>
      <c r="AA31" s="11" t="s">
        <v>33</v>
      </c>
      <c r="AB31" s="14">
        <v>77.400000000000006</v>
      </c>
      <c r="AC31" s="14">
        <v>80.2</v>
      </c>
      <c r="AD31" s="14">
        <v>81.2</v>
      </c>
      <c r="AE31" s="14">
        <v>80.900000000000006</v>
      </c>
      <c r="AF31" s="14">
        <v>82</v>
      </c>
      <c r="AG31" s="14">
        <v>84.9</v>
      </c>
      <c r="AH31" s="14">
        <v>85</v>
      </c>
      <c r="AI31" s="14">
        <v>83.3</v>
      </c>
      <c r="AJ31" s="14">
        <v>83.4</v>
      </c>
      <c r="AK31" s="14">
        <v>82.2</v>
      </c>
      <c r="AL31" s="14">
        <v>80.2</v>
      </c>
    </row>
    <row r="32" spans="1:38" ht="15.75" x14ac:dyDescent="0.25">
      <c r="A32" s="11" t="s">
        <v>34</v>
      </c>
      <c r="B32" s="12">
        <v>86.3</v>
      </c>
      <c r="C32" s="12">
        <v>93.1</v>
      </c>
      <c r="D32" s="12">
        <v>94.2</v>
      </c>
      <c r="E32" s="12">
        <v>93.5</v>
      </c>
      <c r="F32" s="12">
        <v>99.6</v>
      </c>
      <c r="G32" s="12">
        <v>108.1</v>
      </c>
      <c r="H32" s="12">
        <v>113.6</v>
      </c>
      <c r="I32" s="12">
        <v>115.3</v>
      </c>
      <c r="J32" s="12">
        <v>123.3</v>
      </c>
      <c r="K32" s="12">
        <v>127.3</v>
      </c>
      <c r="L32" s="12">
        <v>129.1</v>
      </c>
      <c r="M32" s="12"/>
      <c r="N32" s="11" t="s">
        <v>34</v>
      </c>
      <c r="O32" s="13">
        <v>48669</v>
      </c>
      <c r="P32" s="13">
        <v>52198</v>
      </c>
      <c r="Q32" s="13">
        <v>52437</v>
      </c>
      <c r="R32" s="13">
        <v>51577</v>
      </c>
      <c r="S32" s="13">
        <v>54413</v>
      </c>
      <c r="T32" s="13">
        <v>58679</v>
      </c>
      <c r="U32" s="13">
        <v>61270</v>
      </c>
      <c r="V32" s="13">
        <v>61762</v>
      </c>
      <c r="W32" s="13">
        <v>65551</v>
      </c>
      <c r="X32" s="13">
        <v>67207</v>
      </c>
      <c r="Y32" s="13">
        <v>67672</v>
      </c>
      <c r="Z32" s="14"/>
      <c r="AA32" s="11" t="s">
        <v>34</v>
      </c>
      <c r="AB32" s="14">
        <v>93.4</v>
      </c>
      <c r="AC32" s="14">
        <v>95.6</v>
      </c>
      <c r="AD32" s="14">
        <v>98.1</v>
      </c>
      <c r="AE32" s="14">
        <v>102.4</v>
      </c>
      <c r="AF32" s="14">
        <v>104.8</v>
      </c>
      <c r="AG32" s="14">
        <v>108.4</v>
      </c>
      <c r="AH32" s="14">
        <v>107</v>
      </c>
      <c r="AI32" s="14">
        <v>107.4</v>
      </c>
      <c r="AJ32" s="14">
        <v>108.3</v>
      </c>
      <c r="AK32" s="14">
        <v>107.3</v>
      </c>
      <c r="AL32" s="14">
        <v>107.1</v>
      </c>
    </row>
    <row r="33" spans="1:38" ht="15.75" x14ac:dyDescent="0.25">
      <c r="A33" s="11" t="s">
        <v>35</v>
      </c>
      <c r="B33" s="12">
        <v>150.30000000000001</v>
      </c>
      <c r="C33" s="12">
        <v>155.1</v>
      </c>
      <c r="D33" s="12">
        <v>144.1</v>
      </c>
      <c r="E33" s="12">
        <v>130.69999999999999</v>
      </c>
      <c r="F33" s="12">
        <v>133.9</v>
      </c>
      <c r="G33" s="12">
        <v>137.5</v>
      </c>
      <c r="H33" s="12">
        <v>145.19999999999999</v>
      </c>
      <c r="I33" s="12">
        <v>146.30000000000001</v>
      </c>
      <c r="J33" s="12">
        <v>151.80000000000001</v>
      </c>
      <c r="K33" s="12">
        <v>162.9</v>
      </c>
      <c r="L33" s="12">
        <v>170.8</v>
      </c>
      <c r="M33" s="12"/>
      <c r="N33" s="11" t="s">
        <v>35</v>
      </c>
      <c r="O33" s="13">
        <v>59580</v>
      </c>
      <c r="P33" s="13">
        <v>59618</v>
      </c>
      <c r="Q33" s="13">
        <v>54316</v>
      </c>
      <c r="R33" s="13">
        <v>48679</v>
      </c>
      <c r="S33" s="13">
        <v>49555</v>
      </c>
      <c r="T33" s="13">
        <v>50591</v>
      </c>
      <c r="U33" s="13">
        <v>52767</v>
      </c>
      <c r="V33" s="13">
        <v>52489</v>
      </c>
      <c r="W33" s="13">
        <v>53606</v>
      </c>
      <c r="X33" s="13">
        <v>56510</v>
      </c>
      <c r="Y33" s="13">
        <v>58119</v>
      </c>
      <c r="Z33" s="14"/>
      <c r="AA33" s="11" t="s">
        <v>35</v>
      </c>
      <c r="AB33" s="14">
        <v>114.4</v>
      </c>
      <c r="AC33" s="14">
        <v>109.2</v>
      </c>
      <c r="AD33" s="14">
        <v>101.6</v>
      </c>
      <c r="AE33" s="14">
        <v>96.7</v>
      </c>
      <c r="AF33" s="14">
        <v>95.5</v>
      </c>
      <c r="AG33" s="14">
        <v>93.4</v>
      </c>
      <c r="AH33" s="14">
        <v>92.1</v>
      </c>
      <c r="AI33" s="14">
        <v>91.3</v>
      </c>
      <c r="AJ33" s="14">
        <v>88.6</v>
      </c>
      <c r="AK33" s="14">
        <v>90.2</v>
      </c>
      <c r="AL33" s="14">
        <v>91.9</v>
      </c>
    </row>
    <row r="34" spans="1:38" ht="15.75" x14ac:dyDescent="0.25">
      <c r="A34" s="15" t="s">
        <v>36</v>
      </c>
      <c r="B34" s="16">
        <v>74.3</v>
      </c>
      <c r="C34" s="16">
        <v>77.8</v>
      </c>
      <c r="D34" s="16">
        <v>75.599999999999994</v>
      </c>
      <c r="E34" s="16">
        <v>73.599999999999994</v>
      </c>
      <c r="F34" s="16">
        <v>76.599999999999994</v>
      </c>
      <c r="G34" s="16">
        <v>79.3</v>
      </c>
      <c r="H34" s="16">
        <v>83.6</v>
      </c>
      <c r="I34" s="16">
        <v>84</v>
      </c>
      <c r="J34" s="16">
        <v>87.6</v>
      </c>
      <c r="K34" s="16">
        <v>92.4</v>
      </c>
      <c r="L34" s="16">
        <v>95.3</v>
      </c>
      <c r="M34" s="12"/>
      <c r="N34" s="20" t="s">
        <v>36</v>
      </c>
      <c r="O34" s="17">
        <v>56808</v>
      </c>
      <c r="P34" s="17">
        <v>59274</v>
      </c>
      <c r="Q34" s="17">
        <v>57458</v>
      </c>
      <c r="R34" s="17">
        <v>55942</v>
      </c>
      <c r="S34" s="17">
        <v>58186</v>
      </c>
      <c r="T34" s="17">
        <v>60176</v>
      </c>
      <c r="U34" s="17">
        <v>63282</v>
      </c>
      <c r="V34" s="17">
        <v>63474</v>
      </c>
      <c r="W34" s="17">
        <v>65927</v>
      </c>
      <c r="X34" s="17">
        <v>69440</v>
      </c>
      <c r="Y34" s="17">
        <v>71352</v>
      </c>
      <c r="Z34" s="14"/>
      <c r="AA34" s="20" t="s">
        <v>36</v>
      </c>
      <c r="AB34" s="18">
        <v>109.1</v>
      </c>
      <c r="AC34" s="18">
        <v>108.5</v>
      </c>
      <c r="AD34" s="18">
        <v>107.5</v>
      </c>
      <c r="AE34" s="18">
        <v>111.1</v>
      </c>
      <c r="AF34" s="18">
        <v>112.1</v>
      </c>
      <c r="AG34" s="18">
        <v>111.2</v>
      </c>
      <c r="AH34" s="18">
        <v>110.5</v>
      </c>
      <c r="AI34" s="18">
        <v>110.4</v>
      </c>
      <c r="AJ34" s="18">
        <v>108.9</v>
      </c>
      <c r="AK34" s="18">
        <v>110.9</v>
      </c>
      <c r="AL34" s="18">
        <v>112.9</v>
      </c>
    </row>
    <row r="35" spans="1:38" ht="15.75" x14ac:dyDescent="0.25">
      <c r="A35" s="11" t="s">
        <v>37</v>
      </c>
      <c r="B35" s="12">
        <v>568.1</v>
      </c>
      <c r="C35" s="12">
        <v>602.79999999999995</v>
      </c>
      <c r="D35" s="12">
        <v>598.29999999999995</v>
      </c>
      <c r="E35" s="12">
        <v>563.20000000000005</v>
      </c>
      <c r="F35" s="12">
        <v>574.9</v>
      </c>
      <c r="G35" s="12">
        <v>592.1</v>
      </c>
      <c r="H35" s="12">
        <v>629.4</v>
      </c>
      <c r="I35" s="12">
        <v>636.5</v>
      </c>
      <c r="J35" s="12">
        <v>660.3</v>
      </c>
      <c r="K35" s="12">
        <v>687.2</v>
      </c>
      <c r="L35" s="12">
        <v>697</v>
      </c>
      <c r="M35" s="12"/>
      <c r="N35" s="11" t="s">
        <v>37</v>
      </c>
      <c r="O35" s="13">
        <v>65587</v>
      </c>
      <c r="P35" s="13">
        <v>69467</v>
      </c>
      <c r="Q35" s="13">
        <v>68687</v>
      </c>
      <c r="R35" s="13">
        <v>64323</v>
      </c>
      <c r="S35" s="13">
        <v>65303</v>
      </c>
      <c r="T35" s="13">
        <v>66940</v>
      </c>
      <c r="U35" s="13">
        <v>70861</v>
      </c>
      <c r="V35" s="13">
        <v>71401</v>
      </c>
      <c r="W35" s="13">
        <v>73837</v>
      </c>
      <c r="X35" s="13">
        <v>76696</v>
      </c>
      <c r="Y35" s="13">
        <v>77628</v>
      </c>
      <c r="Z35" s="14"/>
      <c r="AA35" s="11" t="s">
        <v>37</v>
      </c>
      <c r="AB35" s="14">
        <v>125.9</v>
      </c>
      <c r="AC35" s="14">
        <v>127.2</v>
      </c>
      <c r="AD35" s="14">
        <v>128.5</v>
      </c>
      <c r="AE35" s="14">
        <v>127.7</v>
      </c>
      <c r="AF35" s="14">
        <v>125.8</v>
      </c>
      <c r="AG35" s="14">
        <v>123.6</v>
      </c>
      <c r="AH35" s="14">
        <v>123.7</v>
      </c>
      <c r="AI35" s="14">
        <v>124.2</v>
      </c>
      <c r="AJ35" s="14">
        <v>122</v>
      </c>
      <c r="AK35" s="14">
        <v>122.5</v>
      </c>
      <c r="AL35" s="14">
        <v>122.8</v>
      </c>
    </row>
    <row r="36" spans="1:38" ht="15.75" x14ac:dyDescent="0.25">
      <c r="A36" s="11" t="s">
        <v>38</v>
      </c>
      <c r="B36" s="12">
        <v>84.8</v>
      </c>
      <c r="C36" s="12">
        <v>89.3</v>
      </c>
      <c r="D36" s="12">
        <v>92.9</v>
      </c>
      <c r="E36" s="12">
        <v>87</v>
      </c>
      <c r="F36" s="12">
        <v>90.5</v>
      </c>
      <c r="G36" s="12">
        <v>94.6</v>
      </c>
      <c r="H36" s="12">
        <v>97.6</v>
      </c>
      <c r="I36" s="12">
        <v>96.7</v>
      </c>
      <c r="J36" s="12">
        <v>101.9</v>
      </c>
      <c r="K36" s="12">
        <v>100.4</v>
      </c>
      <c r="L36" s="12">
        <v>100.2</v>
      </c>
      <c r="M36" s="12"/>
      <c r="N36" s="11" t="s">
        <v>38</v>
      </c>
      <c r="O36" s="13">
        <v>43230</v>
      </c>
      <c r="P36" s="13">
        <v>44891</v>
      </c>
      <c r="Q36" s="13">
        <v>46218</v>
      </c>
      <c r="R36" s="13">
        <v>42713</v>
      </c>
      <c r="S36" s="13">
        <v>43853</v>
      </c>
      <c r="T36" s="13">
        <v>45508</v>
      </c>
      <c r="U36" s="13">
        <v>46819</v>
      </c>
      <c r="V36" s="13">
        <v>46368</v>
      </c>
      <c r="W36" s="13">
        <v>48896</v>
      </c>
      <c r="X36" s="13">
        <v>48209</v>
      </c>
      <c r="Y36" s="13">
        <v>48068</v>
      </c>
      <c r="Z36" s="14"/>
      <c r="AA36" s="11" t="s">
        <v>38</v>
      </c>
      <c r="AB36" s="14">
        <v>83</v>
      </c>
      <c r="AC36" s="14">
        <v>82.2</v>
      </c>
      <c r="AD36" s="14">
        <v>86.5</v>
      </c>
      <c r="AE36" s="14">
        <v>84.8</v>
      </c>
      <c r="AF36" s="14">
        <v>84.5</v>
      </c>
      <c r="AG36" s="14">
        <v>84.1</v>
      </c>
      <c r="AH36" s="14">
        <v>81.7</v>
      </c>
      <c r="AI36" s="14">
        <v>80.7</v>
      </c>
      <c r="AJ36" s="14">
        <v>80.8</v>
      </c>
      <c r="AK36" s="14">
        <v>77</v>
      </c>
      <c r="AL36" s="14">
        <v>76</v>
      </c>
    </row>
    <row r="37" spans="1:38" ht="15.75" x14ac:dyDescent="0.25">
      <c r="A37" s="11" t="s">
        <v>39</v>
      </c>
      <c r="B37" s="12">
        <v>1226.4000000000001</v>
      </c>
      <c r="C37" s="12">
        <v>1302.7</v>
      </c>
      <c r="D37" s="12">
        <v>1245.2</v>
      </c>
      <c r="E37" s="12">
        <v>1237.7</v>
      </c>
      <c r="F37" s="12">
        <v>1301.5999999999999</v>
      </c>
      <c r="G37" s="12">
        <v>1350.2</v>
      </c>
      <c r="H37" s="12">
        <v>1471.5</v>
      </c>
      <c r="I37" s="12">
        <v>1479.2</v>
      </c>
      <c r="J37" s="12">
        <v>1569.4</v>
      </c>
      <c r="K37" s="12">
        <v>1637.6</v>
      </c>
      <c r="L37" s="12">
        <v>1655.6</v>
      </c>
      <c r="M37" s="12"/>
      <c r="N37" s="11" t="s">
        <v>39</v>
      </c>
      <c r="O37" s="13">
        <v>64192</v>
      </c>
      <c r="P37" s="13">
        <v>68088</v>
      </c>
      <c r="Q37" s="13">
        <v>64811</v>
      </c>
      <c r="R37" s="13">
        <v>64106</v>
      </c>
      <c r="S37" s="13">
        <v>67075</v>
      </c>
      <c r="T37" s="13">
        <v>69145</v>
      </c>
      <c r="U37" s="13">
        <v>74981</v>
      </c>
      <c r="V37" s="13">
        <v>75040</v>
      </c>
      <c r="W37" s="13">
        <v>79369</v>
      </c>
      <c r="X37" s="13">
        <v>82629</v>
      </c>
      <c r="Y37" s="13">
        <v>83465</v>
      </c>
      <c r="Z37" s="14"/>
      <c r="AA37" s="11" t="s">
        <v>39</v>
      </c>
      <c r="AB37" s="14">
        <v>123.2</v>
      </c>
      <c r="AC37" s="14">
        <v>124.7</v>
      </c>
      <c r="AD37" s="14">
        <v>121.3</v>
      </c>
      <c r="AE37" s="14">
        <v>127.3</v>
      </c>
      <c r="AF37" s="14">
        <v>129.19999999999999</v>
      </c>
      <c r="AG37" s="14">
        <v>127.7</v>
      </c>
      <c r="AH37" s="14">
        <v>130.9</v>
      </c>
      <c r="AI37" s="14">
        <v>130.5</v>
      </c>
      <c r="AJ37" s="14">
        <v>131.19999999999999</v>
      </c>
      <c r="AK37" s="14">
        <v>132</v>
      </c>
      <c r="AL37" s="14">
        <v>132</v>
      </c>
    </row>
    <row r="38" spans="1:38" ht="15.75" x14ac:dyDescent="0.25">
      <c r="A38" s="11" t="s">
        <v>40</v>
      </c>
      <c r="B38" s="12">
        <v>418.9</v>
      </c>
      <c r="C38" s="12">
        <v>436.3</v>
      </c>
      <c r="D38" s="12">
        <v>445.9</v>
      </c>
      <c r="E38" s="12">
        <v>423.6</v>
      </c>
      <c r="F38" s="12">
        <v>432.3</v>
      </c>
      <c r="G38" s="12">
        <v>451.4</v>
      </c>
      <c r="H38" s="12">
        <v>470.4</v>
      </c>
      <c r="I38" s="12">
        <v>480.4</v>
      </c>
      <c r="J38" s="12">
        <v>509.7</v>
      </c>
      <c r="K38" s="12">
        <v>541.9</v>
      </c>
      <c r="L38" s="12">
        <v>555</v>
      </c>
      <c r="M38" s="12"/>
      <c r="N38" s="11" t="s">
        <v>40</v>
      </c>
      <c r="O38" s="13">
        <v>46978</v>
      </c>
      <c r="P38" s="13">
        <v>47847</v>
      </c>
      <c r="Q38" s="13">
        <v>47901</v>
      </c>
      <c r="R38" s="13">
        <v>44827</v>
      </c>
      <c r="S38" s="13">
        <v>45157</v>
      </c>
      <c r="T38" s="13">
        <v>46715</v>
      </c>
      <c r="U38" s="13">
        <v>48222</v>
      </c>
      <c r="V38" s="13">
        <v>48773</v>
      </c>
      <c r="W38" s="13">
        <v>51273</v>
      </c>
      <c r="X38" s="13">
        <v>53960</v>
      </c>
      <c r="Y38" s="13">
        <v>54644</v>
      </c>
      <c r="Z38" s="14"/>
      <c r="AA38" s="11" t="s">
        <v>40</v>
      </c>
      <c r="AB38" s="14">
        <v>90.2</v>
      </c>
      <c r="AC38" s="14">
        <v>87.6</v>
      </c>
      <c r="AD38" s="14">
        <v>89.6</v>
      </c>
      <c r="AE38" s="14">
        <v>89</v>
      </c>
      <c r="AF38" s="14">
        <v>87</v>
      </c>
      <c r="AG38" s="14">
        <v>86.3</v>
      </c>
      <c r="AH38" s="14">
        <v>84.2</v>
      </c>
      <c r="AI38" s="14">
        <v>84.9</v>
      </c>
      <c r="AJ38" s="14">
        <v>84.7</v>
      </c>
      <c r="AK38" s="14">
        <v>86.2</v>
      </c>
      <c r="AL38" s="14">
        <v>86.4</v>
      </c>
    </row>
    <row r="39" spans="1:38" ht="15.75" x14ac:dyDescent="0.25">
      <c r="A39" s="11" t="s">
        <v>41</v>
      </c>
      <c r="B39" s="12">
        <v>29</v>
      </c>
      <c r="C39" s="12">
        <v>32.200000000000003</v>
      </c>
      <c r="D39" s="12">
        <v>36.1</v>
      </c>
      <c r="E39" s="12">
        <v>34.799999999999997</v>
      </c>
      <c r="F39" s="12">
        <v>39</v>
      </c>
      <c r="G39" s="12">
        <v>45.5</v>
      </c>
      <c r="H39" s="12">
        <v>57.4</v>
      </c>
      <c r="I39" s="12">
        <v>58.8</v>
      </c>
      <c r="J39" s="12">
        <v>64</v>
      </c>
      <c r="K39" s="12">
        <v>60.5</v>
      </c>
      <c r="L39" s="12">
        <v>57.2</v>
      </c>
      <c r="M39" s="12"/>
      <c r="N39" s="11" t="s">
        <v>41</v>
      </c>
      <c r="O39" s="13">
        <v>44677</v>
      </c>
      <c r="P39" s="13">
        <v>49258</v>
      </c>
      <c r="Q39" s="13">
        <v>54825</v>
      </c>
      <c r="R39" s="13">
        <v>52357</v>
      </c>
      <c r="S39" s="13">
        <v>57818</v>
      </c>
      <c r="T39" s="13">
        <v>66387</v>
      </c>
      <c r="U39" s="13">
        <v>81802</v>
      </c>
      <c r="V39" s="13">
        <v>81321</v>
      </c>
      <c r="W39" s="13">
        <v>86693</v>
      </c>
      <c r="X39" s="13">
        <v>80132</v>
      </c>
      <c r="Y39" s="13">
        <v>75732</v>
      </c>
      <c r="Z39" s="14"/>
      <c r="AA39" s="11" t="s">
        <v>41</v>
      </c>
      <c r="AB39" s="14">
        <v>85.8</v>
      </c>
      <c r="AC39" s="14">
        <v>90.2</v>
      </c>
      <c r="AD39" s="14">
        <v>102.6</v>
      </c>
      <c r="AE39" s="14">
        <v>104</v>
      </c>
      <c r="AF39" s="14">
        <v>111.4</v>
      </c>
      <c r="AG39" s="14">
        <v>122.6</v>
      </c>
      <c r="AH39" s="14">
        <v>142.80000000000001</v>
      </c>
      <c r="AI39" s="14">
        <v>141.5</v>
      </c>
      <c r="AJ39" s="14">
        <v>143.30000000000001</v>
      </c>
      <c r="AK39" s="14">
        <v>128</v>
      </c>
      <c r="AL39" s="14">
        <v>119.8</v>
      </c>
    </row>
    <row r="40" spans="1:38" ht="15.75" x14ac:dyDescent="0.25">
      <c r="A40" s="11" t="s">
        <v>42</v>
      </c>
      <c r="B40" s="12">
        <v>526</v>
      </c>
      <c r="C40" s="12">
        <v>546.5</v>
      </c>
      <c r="D40" s="12">
        <v>534.9</v>
      </c>
      <c r="E40" s="12">
        <v>510.8</v>
      </c>
      <c r="F40" s="12">
        <v>531.1</v>
      </c>
      <c r="G40" s="12">
        <v>568.5</v>
      </c>
      <c r="H40" s="12">
        <v>600.79999999999995</v>
      </c>
      <c r="I40" s="12">
        <v>606</v>
      </c>
      <c r="J40" s="12">
        <v>646.4</v>
      </c>
      <c r="K40" s="12">
        <v>665.1</v>
      </c>
      <c r="L40" s="12">
        <v>673.1</v>
      </c>
      <c r="M40" s="12"/>
      <c r="N40" s="11" t="s">
        <v>42</v>
      </c>
      <c r="O40" s="13">
        <v>45811</v>
      </c>
      <c r="P40" s="13">
        <v>47519</v>
      </c>
      <c r="Q40" s="13">
        <v>46451</v>
      </c>
      <c r="R40" s="13">
        <v>44305</v>
      </c>
      <c r="S40" s="13">
        <v>46029</v>
      </c>
      <c r="T40" s="13">
        <v>49248</v>
      </c>
      <c r="U40" s="13">
        <v>52031</v>
      </c>
      <c r="V40" s="13">
        <v>52388</v>
      </c>
      <c r="W40" s="13">
        <v>55756</v>
      </c>
      <c r="X40" s="13">
        <v>57307</v>
      </c>
      <c r="Y40" s="13">
        <v>57910</v>
      </c>
      <c r="Z40" s="14"/>
      <c r="AA40" s="11" t="s">
        <v>42</v>
      </c>
      <c r="AB40" s="14">
        <v>87.9</v>
      </c>
      <c r="AC40" s="14">
        <v>87</v>
      </c>
      <c r="AD40" s="14">
        <v>86.9</v>
      </c>
      <c r="AE40" s="14">
        <v>88</v>
      </c>
      <c r="AF40" s="14">
        <v>88.7</v>
      </c>
      <c r="AG40" s="14">
        <v>91</v>
      </c>
      <c r="AH40" s="14">
        <v>90.8</v>
      </c>
      <c r="AI40" s="14">
        <v>91.1</v>
      </c>
      <c r="AJ40" s="14">
        <v>92.1</v>
      </c>
      <c r="AK40" s="14">
        <v>91.5</v>
      </c>
      <c r="AL40" s="14">
        <v>91.6</v>
      </c>
    </row>
    <row r="41" spans="1:38" ht="15.75" x14ac:dyDescent="0.25">
      <c r="A41" s="11" t="s">
        <v>43</v>
      </c>
      <c r="B41" s="12">
        <v>154.69999999999999</v>
      </c>
      <c r="C41" s="12">
        <v>166.2</v>
      </c>
      <c r="D41" s="12">
        <v>173.7</v>
      </c>
      <c r="E41" s="12">
        <v>156.69999999999999</v>
      </c>
      <c r="F41" s="12">
        <v>162.9</v>
      </c>
      <c r="G41" s="12">
        <v>179.5</v>
      </c>
      <c r="H41" s="12">
        <v>194.8</v>
      </c>
      <c r="I41" s="12">
        <v>201.9</v>
      </c>
      <c r="J41" s="12">
        <v>217</v>
      </c>
      <c r="K41" s="12">
        <v>210</v>
      </c>
      <c r="L41" s="12">
        <v>200</v>
      </c>
      <c r="M41" s="12"/>
      <c r="N41" s="11" t="s">
        <v>43</v>
      </c>
      <c r="O41" s="13">
        <v>43043</v>
      </c>
      <c r="P41" s="13">
        <v>45738</v>
      </c>
      <c r="Q41" s="13">
        <v>47343</v>
      </c>
      <c r="R41" s="13">
        <v>42158</v>
      </c>
      <c r="S41" s="13">
        <v>43337</v>
      </c>
      <c r="T41" s="13">
        <v>47429</v>
      </c>
      <c r="U41" s="13">
        <v>51067</v>
      </c>
      <c r="V41" s="13">
        <v>52455</v>
      </c>
      <c r="W41" s="13">
        <v>56012</v>
      </c>
      <c r="X41" s="13">
        <v>53787</v>
      </c>
      <c r="Y41" s="13">
        <v>51000</v>
      </c>
      <c r="Z41" s="14"/>
      <c r="AA41" s="11" t="s">
        <v>43</v>
      </c>
      <c r="AB41" s="14">
        <v>82.6</v>
      </c>
      <c r="AC41" s="14">
        <v>83.8</v>
      </c>
      <c r="AD41" s="14">
        <v>88.6</v>
      </c>
      <c r="AE41" s="14">
        <v>83.7</v>
      </c>
      <c r="AF41" s="14">
        <v>83.5</v>
      </c>
      <c r="AG41" s="14">
        <v>87.6</v>
      </c>
      <c r="AH41" s="14">
        <v>89.1</v>
      </c>
      <c r="AI41" s="14">
        <v>91.3</v>
      </c>
      <c r="AJ41" s="14">
        <v>92.6</v>
      </c>
      <c r="AK41" s="14">
        <v>85.9</v>
      </c>
      <c r="AL41" s="14">
        <v>80.7</v>
      </c>
    </row>
    <row r="42" spans="1:38" ht="15.75" x14ac:dyDescent="0.25">
      <c r="A42" s="11" t="s">
        <v>44</v>
      </c>
      <c r="B42" s="12">
        <v>182.2</v>
      </c>
      <c r="C42" s="12">
        <v>192</v>
      </c>
      <c r="D42" s="12">
        <v>197.7</v>
      </c>
      <c r="E42" s="12">
        <v>192.9</v>
      </c>
      <c r="F42" s="12">
        <v>202.2</v>
      </c>
      <c r="G42" s="12">
        <v>214.1</v>
      </c>
      <c r="H42" s="12">
        <v>215.4</v>
      </c>
      <c r="I42" s="12">
        <v>212.1</v>
      </c>
      <c r="J42" s="12">
        <v>221</v>
      </c>
      <c r="K42" s="12">
        <v>237.2</v>
      </c>
      <c r="L42" s="12">
        <v>247.1</v>
      </c>
      <c r="M42" s="12"/>
      <c r="N42" s="11" t="s">
        <v>44</v>
      </c>
      <c r="O42" s="13">
        <v>49646</v>
      </c>
      <c r="P42" s="13">
        <v>51590</v>
      </c>
      <c r="Q42" s="13">
        <v>52460</v>
      </c>
      <c r="R42" s="13">
        <v>50645</v>
      </c>
      <c r="S42" s="13">
        <v>52706</v>
      </c>
      <c r="T42" s="13">
        <v>55390</v>
      </c>
      <c r="U42" s="13">
        <v>55329</v>
      </c>
      <c r="V42" s="13">
        <v>54119</v>
      </c>
      <c r="W42" s="13">
        <v>55801</v>
      </c>
      <c r="X42" s="13">
        <v>59049</v>
      </c>
      <c r="Y42" s="13">
        <v>60464</v>
      </c>
      <c r="Z42" s="14"/>
      <c r="AA42" s="11" t="s">
        <v>44</v>
      </c>
      <c r="AB42" s="14">
        <v>95.3</v>
      </c>
      <c r="AC42" s="14">
        <v>94.5</v>
      </c>
      <c r="AD42" s="14">
        <v>98.2</v>
      </c>
      <c r="AE42" s="14">
        <v>100.6</v>
      </c>
      <c r="AF42" s="14">
        <v>101.5</v>
      </c>
      <c r="AG42" s="14">
        <v>102.3</v>
      </c>
      <c r="AH42" s="14">
        <v>96.6</v>
      </c>
      <c r="AI42" s="14">
        <v>94.1</v>
      </c>
      <c r="AJ42" s="14">
        <v>92.2</v>
      </c>
      <c r="AK42" s="14">
        <v>94.3</v>
      </c>
      <c r="AL42" s="14">
        <v>95.7</v>
      </c>
    </row>
    <row r="43" spans="1:38" ht="15.75" x14ac:dyDescent="0.25">
      <c r="A43" s="11" t="s">
        <v>45</v>
      </c>
      <c r="B43" s="12">
        <v>604.9</v>
      </c>
      <c r="C43" s="12">
        <v>652.6</v>
      </c>
      <c r="D43" s="12">
        <v>655.9</v>
      </c>
      <c r="E43" s="12">
        <v>633.9</v>
      </c>
      <c r="F43" s="12">
        <v>657.8</v>
      </c>
      <c r="G43" s="12">
        <v>686.4</v>
      </c>
      <c r="H43" s="12">
        <v>727.7</v>
      </c>
      <c r="I43" s="12">
        <v>734.7</v>
      </c>
      <c r="J43" s="12">
        <v>772.5</v>
      </c>
      <c r="K43" s="12">
        <v>803.5</v>
      </c>
      <c r="L43" s="12">
        <v>811.7</v>
      </c>
      <c r="M43" s="12"/>
      <c r="N43" s="11" t="s">
        <v>45</v>
      </c>
      <c r="O43" s="13">
        <v>48347</v>
      </c>
      <c r="P43" s="13">
        <v>51940</v>
      </c>
      <c r="Q43" s="13">
        <v>52007</v>
      </c>
      <c r="R43" s="13">
        <v>50040</v>
      </c>
      <c r="S43" s="13">
        <v>51749</v>
      </c>
      <c r="T43" s="13">
        <v>53866</v>
      </c>
      <c r="U43" s="13">
        <v>56997</v>
      </c>
      <c r="V43" s="13">
        <v>57493</v>
      </c>
      <c r="W43" s="13">
        <v>60399</v>
      </c>
      <c r="X43" s="13">
        <v>62818</v>
      </c>
      <c r="Y43" s="13">
        <v>63475</v>
      </c>
      <c r="Z43" s="14"/>
      <c r="AA43" s="11" t="s">
        <v>45</v>
      </c>
      <c r="AB43" s="14">
        <v>92.8</v>
      </c>
      <c r="AC43" s="14">
        <v>95.1</v>
      </c>
      <c r="AD43" s="14">
        <v>97.3</v>
      </c>
      <c r="AE43" s="14">
        <v>99.4</v>
      </c>
      <c r="AF43" s="14">
        <v>99.7</v>
      </c>
      <c r="AG43" s="14">
        <v>99.5</v>
      </c>
      <c r="AH43" s="14">
        <v>99.5</v>
      </c>
      <c r="AI43" s="14">
        <v>100</v>
      </c>
      <c r="AJ43" s="14">
        <v>99.8</v>
      </c>
      <c r="AK43" s="14">
        <v>100.3</v>
      </c>
      <c r="AL43" s="14">
        <v>100.4</v>
      </c>
    </row>
    <row r="44" spans="1:38" ht="15.75" x14ac:dyDescent="0.25">
      <c r="A44" s="15" t="s">
        <v>46</v>
      </c>
      <c r="B44" s="16">
        <v>57.4</v>
      </c>
      <c r="C44" s="16">
        <v>58.7</v>
      </c>
      <c r="D44" s="16">
        <v>56.2</v>
      </c>
      <c r="E44" s="16">
        <v>55.1</v>
      </c>
      <c r="F44" s="16">
        <v>56.9</v>
      </c>
      <c r="G44" s="16">
        <v>58.9</v>
      </c>
      <c r="H44" s="16">
        <v>61.6</v>
      </c>
      <c r="I44" s="16">
        <v>61.8</v>
      </c>
      <c r="J44" s="16">
        <v>64.400000000000006</v>
      </c>
      <c r="K44" s="16">
        <v>66.900000000000006</v>
      </c>
      <c r="L44" s="16">
        <v>68.099999999999994</v>
      </c>
      <c r="M44" s="12"/>
      <c r="N44" s="15" t="s">
        <v>46</v>
      </c>
      <c r="O44" s="17">
        <v>54028</v>
      </c>
      <c r="P44" s="17">
        <v>55524</v>
      </c>
      <c r="Q44" s="17">
        <v>53284</v>
      </c>
      <c r="R44" s="17">
        <v>52320</v>
      </c>
      <c r="S44" s="17">
        <v>54054</v>
      </c>
      <c r="T44" s="17">
        <v>55959</v>
      </c>
      <c r="U44" s="17">
        <v>58521</v>
      </c>
      <c r="V44" s="17">
        <v>58735</v>
      </c>
      <c r="W44" s="17">
        <v>61039</v>
      </c>
      <c r="X44" s="17">
        <v>63312</v>
      </c>
      <c r="Y44" s="17">
        <v>64433</v>
      </c>
      <c r="Z44" s="19"/>
      <c r="AA44" s="15" t="s">
        <v>46</v>
      </c>
      <c r="AB44" s="18">
        <v>103.7</v>
      </c>
      <c r="AC44" s="18">
        <v>101.7</v>
      </c>
      <c r="AD44" s="18">
        <v>99.7</v>
      </c>
      <c r="AE44" s="18">
        <v>103.9</v>
      </c>
      <c r="AF44" s="18">
        <v>104.1</v>
      </c>
      <c r="AG44" s="18">
        <v>103.4</v>
      </c>
      <c r="AH44" s="18">
        <v>102.2</v>
      </c>
      <c r="AI44" s="18">
        <v>102.2</v>
      </c>
      <c r="AJ44" s="18">
        <v>100.9</v>
      </c>
      <c r="AK44" s="18">
        <v>101.1</v>
      </c>
      <c r="AL44" s="18">
        <v>101.9</v>
      </c>
    </row>
    <row r="45" spans="1:38" ht="15.75" x14ac:dyDescent="0.25">
      <c r="A45" s="11" t="s">
        <v>47</v>
      </c>
      <c r="B45" s="12">
        <v>171.9</v>
      </c>
      <c r="C45" s="12">
        <v>184.6</v>
      </c>
      <c r="D45" s="12">
        <v>181.7</v>
      </c>
      <c r="E45" s="12">
        <v>175.8</v>
      </c>
      <c r="F45" s="12">
        <v>179.4</v>
      </c>
      <c r="G45" s="12">
        <v>187.9</v>
      </c>
      <c r="H45" s="12">
        <v>197</v>
      </c>
      <c r="I45" s="12">
        <v>201</v>
      </c>
      <c r="J45" s="12">
        <v>214.8</v>
      </c>
      <c r="K45" s="12">
        <v>229</v>
      </c>
      <c r="L45" s="12">
        <v>236.8</v>
      </c>
      <c r="M45" s="12"/>
      <c r="N45" s="11" t="s">
        <v>47</v>
      </c>
      <c r="O45" s="13">
        <v>39456</v>
      </c>
      <c r="P45" s="13">
        <v>41531</v>
      </c>
      <c r="Q45" s="13">
        <v>40124</v>
      </c>
      <c r="R45" s="13">
        <v>38292</v>
      </c>
      <c r="S45" s="13">
        <v>38701</v>
      </c>
      <c r="T45" s="13">
        <v>40221</v>
      </c>
      <c r="U45" s="13">
        <v>41737</v>
      </c>
      <c r="V45" s="13">
        <v>42184</v>
      </c>
      <c r="W45" s="13">
        <v>44515</v>
      </c>
      <c r="X45" s="13">
        <v>46808</v>
      </c>
      <c r="Y45" s="13">
        <v>47738</v>
      </c>
      <c r="Z45" s="14"/>
      <c r="AA45" s="11" t="s">
        <v>47</v>
      </c>
      <c r="AB45" s="14">
        <v>75.7</v>
      </c>
      <c r="AC45" s="14">
        <v>76.099999999999994</v>
      </c>
      <c r="AD45" s="14">
        <v>75.099999999999994</v>
      </c>
      <c r="AE45" s="14">
        <v>76</v>
      </c>
      <c r="AF45" s="14">
        <v>74.599999999999994</v>
      </c>
      <c r="AG45" s="14">
        <v>74.3</v>
      </c>
      <c r="AH45" s="14">
        <v>72.900000000000006</v>
      </c>
      <c r="AI45" s="14">
        <v>73.400000000000006</v>
      </c>
      <c r="AJ45" s="14">
        <v>73.599999999999994</v>
      </c>
      <c r="AK45" s="14">
        <v>74.8</v>
      </c>
      <c r="AL45" s="14">
        <v>75.5</v>
      </c>
    </row>
    <row r="46" spans="1:38" ht="15.75" x14ac:dyDescent="0.25">
      <c r="A46" s="11" t="s">
        <v>48</v>
      </c>
      <c r="B46" s="12">
        <v>37.9</v>
      </c>
      <c r="C46" s="12">
        <v>41.4</v>
      </c>
      <c r="D46" s="12">
        <v>43</v>
      </c>
      <c r="E46" s="12">
        <v>40.9</v>
      </c>
      <c r="F46" s="12">
        <v>42.6</v>
      </c>
      <c r="G46" s="12">
        <v>47.3</v>
      </c>
      <c r="H46" s="12">
        <v>49.7</v>
      </c>
      <c r="I46" s="12">
        <v>49.5</v>
      </c>
      <c r="J46" s="12">
        <v>51.4</v>
      </c>
      <c r="K46" s="12">
        <v>53.7</v>
      </c>
      <c r="L46" s="12">
        <v>54.5</v>
      </c>
      <c r="M46" s="12"/>
      <c r="N46" s="11" t="s">
        <v>48</v>
      </c>
      <c r="O46" s="13">
        <v>48349</v>
      </c>
      <c r="P46" s="13">
        <v>52236</v>
      </c>
      <c r="Q46" s="13">
        <v>53857</v>
      </c>
      <c r="R46" s="13">
        <v>50678</v>
      </c>
      <c r="S46" s="13">
        <v>52160</v>
      </c>
      <c r="T46" s="13">
        <v>57468</v>
      </c>
      <c r="U46" s="13">
        <v>59726</v>
      </c>
      <c r="V46" s="13">
        <v>58782</v>
      </c>
      <c r="W46" s="13">
        <v>60560</v>
      </c>
      <c r="X46" s="13">
        <v>62895</v>
      </c>
      <c r="Y46" s="13">
        <v>63217</v>
      </c>
      <c r="Z46" s="14"/>
      <c r="AA46" s="11" t="s">
        <v>48</v>
      </c>
      <c r="AB46" s="14">
        <v>92.8</v>
      </c>
      <c r="AC46" s="14">
        <v>95.7</v>
      </c>
      <c r="AD46" s="14">
        <v>100.8</v>
      </c>
      <c r="AE46" s="14">
        <v>100.6</v>
      </c>
      <c r="AF46" s="14">
        <v>100.5</v>
      </c>
      <c r="AG46" s="14">
        <v>106.2</v>
      </c>
      <c r="AH46" s="14">
        <v>104.3</v>
      </c>
      <c r="AI46" s="14">
        <v>102.3</v>
      </c>
      <c r="AJ46" s="14">
        <v>100.1</v>
      </c>
      <c r="AK46" s="14">
        <v>100.4</v>
      </c>
      <c r="AL46" s="14">
        <v>100</v>
      </c>
    </row>
    <row r="47" spans="1:38" ht="15.75" x14ac:dyDescent="0.25">
      <c r="A47" s="11" t="s">
        <v>49</v>
      </c>
      <c r="B47" s="12">
        <v>261</v>
      </c>
      <c r="C47" s="12">
        <v>269.10000000000002</v>
      </c>
      <c r="D47" s="12">
        <v>269.10000000000002</v>
      </c>
      <c r="E47" s="12">
        <v>261.5</v>
      </c>
      <c r="F47" s="12">
        <v>269.3</v>
      </c>
      <c r="G47" s="12">
        <v>283</v>
      </c>
      <c r="H47" s="12">
        <v>304.5</v>
      </c>
      <c r="I47" s="12">
        <v>308.10000000000002</v>
      </c>
      <c r="J47" s="12">
        <v>323.89999999999998</v>
      </c>
      <c r="K47" s="12">
        <v>343</v>
      </c>
      <c r="L47" s="12">
        <v>356.7</v>
      </c>
      <c r="M47" s="12"/>
      <c r="N47" s="11" t="s">
        <v>49</v>
      </c>
      <c r="O47" s="13">
        <v>42860</v>
      </c>
      <c r="P47" s="13">
        <v>43568</v>
      </c>
      <c r="Q47" s="13">
        <v>43074</v>
      </c>
      <c r="R47" s="13">
        <v>41476</v>
      </c>
      <c r="S47" s="13">
        <v>42376</v>
      </c>
      <c r="T47" s="13">
        <v>44252</v>
      </c>
      <c r="U47" s="13">
        <v>47199</v>
      </c>
      <c r="V47" s="13">
        <v>47465</v>
      </c>
      <c r="W47" s="13">
        <v>49520</v>
      </c>
      <c r="X47" s="13">
        <v>52048</v>
      </c>
      <c r="Y47" s="13">
        <v>53640</v>
      </c>
      <c r="Z47" s="14"/>
      <c r="AA47" s="11" t="s">
        <v>49</v>
      </c>
      <c r="AB47" s="14">
        <v>82.3</v>
      </c>
      <c r="AC47" s="14">
        <v>79.8</v>
      </c>
      <c r="AD47" s="14">
        <v>80.599999999999994</v>
      </c>
      <c r="AE47" s="14">
        <v>82.4</v>
      </c>
      <c r="AF47" s="14">
        <v>81.599999999999994</v>
      </c>
      <c r="AG47" s="14">
        <v>81.7</v>
      </c>
      <c r="AH47" s="14">
        <v>82.4</v>
      </c>
      <c r="AI47" s="14">
        <v>82.6</v>
      </c>
      <c r="AJ47" s="14">
        <v>81.8</v>
      </c>
      <c r="AK47" s="14">
        <v>83.1</v>
      </c>
      <c r="AL47" s="14">
        <v>84.9</v>
      </c>
    </row>
    <row r="48" spans="1:38" ht="15.75" x14ac:dyDescent="0.25">
      <c r="A48" s="11" t="s">
        <v>50</v>
      </c>
      <c r="B48" s="12">
        <v>1178.4000000000001</v>
      </c>
      <c r="C48" s="12">
        <v>1281.8</v>
      </c>
      <c r="D48" s="12">
        <v>1345</v>
      </c>
      <c r="E48" s="12">
        <v>1225.5999999999999</v>
      </c>
      <c r="F48" s="12">
        <v>1305.2</v>
      </c>
      <c r="G48" s="12">
        <v>1431.9</v>
      </c>
      <c r="H48" s="12">
        <v>1565.5</v>
      </c>
      <c r="I48" s="12">
        <v>1626</v>
      </c>
      <c r="J48" s="12">
        <v>1733.9</v>
      </c>
      <c r="K48" s="12">
        <v>1733.4</v>
      </c>
      <c r="L48" s="12">
        <v>1704.8</v>
      </c>
      <c r="M48" s="12"/>
      <c r="N48" s="11" t="s">
        <v>50</v>
      </c>
      <c r="O48" s="13">
        <v>50448</v>
      </c>
      <c r="P48" s="13">
        <v>53785</v>
      </c>
      <c r="Q48" s="13">
        <v>55330</v>
      </c>
      <c r="R48" s="13">
        <v>49417</v>
      </c>
      <c r="S48" s="13">
        <v>51708</v>
      </c>
      <c r="T48" s="13">
        <v>55838</v>
      </c>
      <c r="U48" s="13">
        <v>60029</v>
      </c>
      <c r="V48" s="13">
        <v>61408</v>
      </c>
      <c r="W48" s="13">
        <v>64328</v>
      </c>
      <c r="X48" s="13">
        <v>63137</v>
      </c>
      <c r="Y48" s="13">
        <v>61092</v>
      </c>
      <c r="Z48" s="14"/>
      <c r="AA48" s="11" t="s">
        <v>50</v>
      </c>
      <c r="AB48" s="14">
        <v>96.8</v>
      </c>
      <c r="AC48" s="14">
        <v>98.5</v>
      </c>
      <c r="AD48" s="14">
        <v>103.5</v>
      </c>
      <c r="AE48" s="14">
        <v>98.1</v>
      </c>
      <c r="AF48" s="14">
        <v>99.6</v>
      </c>
      <c r="AG48" s="14">
        <v>103.1</v>
      </c>
      <c r="AH48" s="14">
        <v>104.8</v>
      </c>
      <c r="AI48" s="14">
        <v>106.8</v>
      </c>
      <c r="AJ48" s="14">
        <v>106.3</v>
      </c>
      <c r="AK48" s="14">
        <v>100.8</v>
      </c>
      <c r="AL48" s="14">
        <v>96.6</v>
      </c>
    </row>
    <row r="49" spans="1:38" ht="15.75" x14ac:dyDescent="0.25">
      <c r="A49" s="11" t="s">
        <v>51</v>
      </c>
      <c r="B49" s="12">
        <v>115.5</v>
      </c>
      <c r="C49" s="12">
        <v>127.6</v>
      </c>
      <c r="D49" s="12">
        <v>125</v>
      </c>
      <c r="E49" s="12">
        <v>118.5</v>
      </c>
      <c r="F49" s="12">
        <v>123</v>
      </c>
      <c r="G49" s="12">
        <v>130.69999999999999</v>
      </c>
      <c r="H49" s="12">
        <v>138.69999999999999</v>
      </c>
      <c r="I49" s="12">
        <v>141.1</v>
      </c>
      <c r="J49" s="12">
        <v>151</v>
      </c>
      <c r="K49" s="12">
        <v>160.5</v>
      </c>
      <c r="L49" s="12">
        <v>168.2</v>
      </c>
      <c r="M49" s="12"/>
      <c r="N49" s="11" t="s">
        <v>51</v>
      </c>
      <c r="O49" s="13">
        <v>45732</v>
      </c>
      <c r="P49" s="13">
        <v>49132</v>
      </c>
      <c r="Q49" s="13">
        <v>46930</v>
      </c>
      <c r="R49" s="13">
        <v>43511</v>
      </c>
      <c r="S49" s="13">
        <v>44310</v>
      </c>
      <c r="T49" s="13">
        <v>46434</v>
      </c>
      <c r="U49" s="13">
        <v>48583</v>
      </c>
      <c r="V49" s="13">
        <v>48643</v>
      </c>
      <c r="W49" s="13">
        <v>51368</v>
      </c>
      <c r="X49" s="13">
        <v>53756</v>
      </c>
      <c r="Y49" s="13">
        <v>55259</v>
      </c>
      <c r="Z49" s="14"/>
      <c r="AA49" s="11" t="s">
        <v>51</v>
      </c>
      <c r="AB49" s="14">
        <v>87.8</v>
      </c>
      <c r="AC49" s="14">
        <v>90</v>
      </c>
      <c r="AD49" s="14">
        <v>87.8</v>
      </c>
      <c r="AE49" s="14">
        <v>86.4</v>
      </c>
      <c r="AF49" s="14">
        <v>85.4</v>
      </c>
      <c r="AG49" s="14">
        <v>85.8</v>
      </c>
      <c r="AH49" s="14">
        <v>84.8</v>
      </c>
      <c r="AI49" s="14">
        <v>84.6</v>
      </c>
      <c r="AJ49" s="14">
        <v>84.9</v>
      </c>
      <c r="AK49" s="14">
        <v>85.9</v>
      </c>
      <c r="AL49" s="14">
        <v>87.4</v>
      </c>
    </row>
    <row r="50" spans="1:38" ht="15.75" x14ac:dyDescent="0.25">
      <c r="A50" s="11" t="s">
        <v>52</v>
      </c>
      <c r="B50" s="12">
        <v>28.8</v>
      </c>
      <c r="C50" s="12">
        <v>29.9</v>
      </c>
      <c r="D50" s="12">
        <v>29.6</v>
      </c>
      <c r="E50" s="12">
        <v>28.8</v>
      </c>
      <c r="F50" s="12">
        <v>29.6</v>
      </c>
      <c r="G50" s="12">
        <v>31.5</v>
      </c>
      <c r="H50" s="12">
        <v>32.700000000000003</v>
      </c>
      <c r="I50" s="12">
        <v>32.799999999999997</v>
      </c>
      <c r="J50" s="12">
        <v>34.299999999999997</v>
      </c>
      <c r="K50" s="12">
        <v>35.4</v>
      </c>
      <c r="L50" s="12">
        <v>36.1</v>
      </c>
      <c r="M50" s="12"/>
      <c r="N50" s="11" t="s">
        <v>52</v>
      </c>
      <c r="O50" s="13">
        <v>46274</v>
      </c>
      <c r="P50" s="13">
        <v>47989</v>
      </c>
      <c r="Q50" s="13">
        <v>47503</v>
      </c>
      <c r="R50" s="13">
        <v>46046</v>
      </c>
      <c r="S50" s="13">
        <v>47364</v>
      </c>
      <c r="T50" s="13">
        <v>50323</v>
      </c>
      <c r="U50" s="13">
        <v>52347</v>
      </c>
      <c r="V50" s="13">
        <v>52431</v>
      </c>
      <c r="W50" s="13">
        <v>54818</v>
      </c>
      <c r="X50" s="13">
        <v>56690</v>
      </c>
      <c r="Y50" s="13">
        <v>57968</v>
      </c>
      <c r="Z50" s="14"/>
      <c r="AA50" s="11" t="s">
        <v>52</v>
      </c>
      <c r="AB50" s="14">
        <v>88.8</v>
      </c>
      <c r="AC50" s="14">
        <v>87.9</v>
      </c>
      <c r="AD50" s="14">
        <v>88.9</v>
      </c>
      <c r="AE50" s="14">
        <v>91.4</v>
      </c>
      <c r="AF50" s="14">
        <v>91.3</v>
      </c>
      <c r="AG50" s="14">
        <v>93</v>
      </c>
      <c r="AH50" s="14">
        <v>91.4</v>
      </c>
      <c r="AI50" s="14">
        <v>91.2</v>
      </c>
      <c r="AJ50" s="14">
        <v>90.6</v>
      </c>
      <c r="AK50" s="14">
        <v>90.5</v>
      </c>
      <c r="AL50" s="14">
        <v>91.7</v>
      </c>
    </row>
    <row r="51" spans="1:38" ht="15.75" x14ac:dyDescent="0.25">
      <c r="A51" s="11" t="s">
        <v>53</v>
      </c>
      <c r="B51" s="12">
        <v>440.5</v>
      </c>
      <c r="C51" s="12">
        <v>461.2</v>
      </c>
      <c r="D51" s="12">
        <v>458</v>
      </c>
      <c r="E51" s="12">
        <v>451.2</v>
      </c>
      <c r="F51" s="12">
        <v>467.6</v>
      </c>
      <c r="G51" s="12">
        <v>485.2</v>
      </c>
      <c r="H51" s="12">
        <v>507.5</v>
      </c>
      <c r="I51" s="12">
        <v>504.8</v>
      </c>
      <c r="J51" s="12">
        <v>527.1</v>
      </c>
      <c r="K51" s="12">
        <v>549.6</v>
      </c>
      <c r="L51" s="12">
        <v>559.20000000000005</v>
      </c>
      <c r="M51" s="12"/>
      <c r="N51" s="11" t="s">
        <v>53</v>
      </c>
      <c r="O51" s="13">
        <v>57404</v>
      </c>
      <c r="P51" s="13">
        <v>59508</v>
      </c>
      <c r="Q51" s="13">
        <v>58466</v>
      </c>
      <c r="R51" s="13">
        <v>56922</v>
      </c>
      <c r="S51" s="13">
        <v>58269</v>
      </c>
      <c r="T51" s="13">
        <v>59849</v>
      </c>
      <c r="U51" s="13">
        <v>61980</v>
      </c>
      <c r="V51" s="13">
        <v>61103</v>
      </c>
      <c r="W51" s="13">
        <v>63372</v>
      </c>
      <c r="X51" s="13">
        <v>65683</v>
      </c>
      <c r="Y51" s="13">
        <v>66452</v>
      </c>
      <c r="Z51" s="14"/>
      <c r="AA51" s="11" t="s">
        <v>53</v>
      </c>
      <c r="AB51" s="14">
        <v>110.2</v>
      </c>
      <c r="AC51" s="14">
        <v>109</v>
      </c>
      <c r="AD51" s="14">
        <v>109.4</v>
      </c>
      <c r="AE51" s="14">
        <v>113</v>
      </c>
      <c r="AF51" s="14">
        <v>112.3</v>
      </c>
      <c r="AG51" s="14">
        <v>110.6</v>
      </c>
      <c r="AH51" s="14">
        <v>108.2</v>
      </c>
      <c r="AI51" s="14">
        <v>106.3</v>
      </c>
      <c r="AJ51" s="14">
        <v>104.7</v>
      </c>
      <c r="AK51" s="14">
        <v>104.9</v>
      </c>
      <c r="AL51" s="14">
        <v>105.1</v>
      </c>
    </row>
    <row r="52" spans="1:38" ht="15.75" x14ac:dyDescent="0.25">
      <c r="A52" s="11" t="s">
        <v>54</v>
      </c>
      <c r="B52" s="12">
        <v>359.3</v>
      </c>
      <c r="C52" s="12">
        <v>399.4</v>
      </c>
      <c r="D52" s="12">
        <v>395.8</v>
      </c>
      <c r="E52" s="12">
        <v>374.1</v>
      </c>
      <c r="F52" s="12">
        <v>383.9</v>
      </c>
      <c r="G52" s="12">
        <v>401.3</v>
      </c>
      <c r="H52" s="12">
        <v>436.1</v>
      </c>
      <c r="I52" s="12">
        <v>442.7</v>
      </c>
      <c r="J52" s="12">
        <v>477.8</v>
      </c>
      <c r="K52" s="12">
        <v>509.8</v>
      </c>
      <c r="L52" s="12">
        <v>533.79999999999995</v>
      </c>
      <c r="M52" s="12"/>
      <c r="N52" s="11" t="s">
        <v>54</v>
      </c>
      <c r="O52" s="13">
        <v>56402</v>
      </c>
      <c r="P52" s="13">
        <v>61812</v>
      </c>
      <c r="Q52" s="13">
        <v>60321</v>
      </c>
      <c r="R52" s="13">
        <v>56109</v>
      </c>
      <c r="S52" s="13">
        <v>56945</v>
      </c>
      <c r="T52" s="13">
        <v>58854</v>
      </c>
      <c r="U52" s="13">
        <v>63291</v>
      </c>
      <c r="V52" s="13">
        <v>63576</v>
      </c>
      <c r="W52" s="13">
        <v>67799</v>
      </c>
      <c r="X52" s="13">
        <v>71274</v>
      </c>
      <c r="Y52" s="13">
        <v>73316</v>
      </c>
      <c r="Z52" s="14"/>
      <c r="AA52" s="11" t="s">
        <v>54</v>
      </c>
      <c r="AB52" s="14">
        <v>108.3</v>
      </c>
      <c r="AC52" s="14">
        <v>113.2</v>
      </c>
      <c r="AD52" s="14">
        <v>112.9</v>
      </c>
      <c r="AE52" s="14">
        <v>111.4</v>
      </c>
      <c r="AF52" s="14">
        <v>109.7</v>
      </c>
      <c r="AG52" s="14">
        <v>108.7</v>
      </c>
      <c r="AH52" s="14">
        <v>110.5</v>
      </c>
      <c r="AI52" s="14">
        <v>110.6</v>
      </c>
      <c r="AJ52" s="14">
        <v>112</v>
      </c>
      <c r="AK52" s="14">
        <v>113.8</v>
      </c>
      <c r="AL52" s="14">
        <v>116</v>
      </c>
    </row>
    <row r="53" spans="1:38" ht="15.75" x14ac:dyDescent="0.25">
      <c r="A53" s="11" t="s">
        <v>55</v>
      </c>
      <c r="B53" s="12">
        <v>65.599999999999994</v>
      </c>
      <c r="C53" s="12">
        <v>69.2</v>
      </c>
      <c r="D53" s="12">
        <v>72.400000000000006</v>
      </c>
      <c r="E53" s="12">
        <v>72.7</v>
      </c>
      <c r="F53" s="12">
        <v>75.5</v>
      </c>
      <c r="G53" s="12">
        <v>80.3</v>
      </c>
      <c r="H53" s="12">
        <v>81</v>
      </c>
      <c r="I53" s="12">
        <v>81.400000000000006</v>
      </c>
      <c r="J53" s="12">
        <v>83.9</v>
      </c>
      <c r="K53" s="12">
        <v>83.6</v>
      </c>
      <c r="L53" s="12">
        <v>83.3</v>
      </c>
      <c r="M53" s="12"/>
      <c r="N53" s="11" t="s">
        <v>55</v>
      </c>
      <c r="O53" s="13">
        <v>35894</v>
      </c>
      <c r="P53" s="13">
        <v>37721</v>
      </c>
      <c r="Q53" s="13">
        <v>39341</v>
      </c>
      <c r="R53" s="13">
        <v>39336</v>
      </c>
      <c r="S53" s="13">
        <v>40733</v>
      </c>
      <c r="T53" s="13">
        <v>43298</v>
      </c>
      <c r="U53" s="13">
        <v>43636</v>
      </c>
      <c r="V53" s="13">
        <v>43958</v>
      </c>
      <c r="W53" s="13">
        <v>45424</v>
      </c>
      <c r="X53" s="13">
        <v>45434</v>
      </c>
      <c r="Y53" s="13">
        <v>45535</v>
      </c>
      <c r="Z53" s="14"/>
      <c r="AA53" s="11" t="s">
        <v>55</v>
      </c>
      <c r="AB53" s="14">
        <v>68.900000000000006</v>
      </c>
      <c r="AC53" s="14">
        <v>69.099999999999994</v>
      </c>
      <c r="AD53" s="14">
        <v>73.599999999999994</v>
      </c>
      <c r="AE53" s="14">
        <v>78.099999999999994</v>
      </c>
      <c r="AF53" s="14">
        <v>78.5</v>
      </c>
      <c r="AG53" s="14">
        <v>80</v>
      </c>
      <c r="AH53" s="14">
        <v>76.2</v>
      </c>
      <c r="AI53" s="14">
        <v>76.5</v>
      </c>
      <c r="AJ53" s="14">
        <v>75.099999999999994</v>
      </c>
      <c r="AK53" s="14">
        <v>72.599999999999994</v>
      </c>
      <c r="AL53" s="14">
        <v>72</v>
      </c>
    </row>
    <row r="54" spans="1:38" ht="15.75" x14ac:dyDescent="0.25">
      <c r="A54" s="11" t="s">
        <v>56</v>
      </c>
      <c r="B54" s="12">
        <v>266.2</v>
      </c>
      <c r="C54" s="12">
        <v>277.39999999999998</v>
      </c>
      <c r="D54" s="12">
        <v>272.89999999999998</v>
      </c>
      <c r="E54" s="12">
        <v>266.3</v>
      </c>
      <c r="F54" s="12">
        <v>274.10000000000002</v>
      </c>
      <c r="G54" s="12">
        <v>289.3</v>
      </c>
      <c r="H54" s="12">
        <v>305.5</v>
      </c>
      <c r="I54" s="12">
        <v>310.2</v>
      </c>
      <c r="J54" s="12">
        <v>325.2</v>
      </c>
      <c r="K54" s="12">
        <v>339.6</v>
      </c>
      <c r="L54" s="12">
        <v>348.2</v>
      </c>
      <c r="M54" s="12"/>
      <c r="N54" s="21" t="s">
        <v>56</v>
      </c>
      <c r="O54" s="13">
        <v>47733</v>
      </c>
      <c r="P54" s="13">
        <v>49448</v>
      </c>
      <c r="Q54" s="13">
        <v>48379</v>
      </c>
      <c r="R54" s="13">
        <v>46965</v>
      </c>
      <c r="S54" s="13">
        <v>48167</v>
      </c>
      <c r="T54" s="13">
        <v>50697</v>
      </c>
      <c r="U54" s="13">
        <v>53401</v>
      </c>
      <c r="V54" s="13">
        <v>54077</v>
      </c>
      <c r="W54" s="13">
        <v>56538</v>
      </c>
      <c r="X54" s="13">
        <v>58965</v>
      </c>
      <c r="Y54" s="13">
        <v>60308</v>
      </c>
      <c r="Z54" s="14"/>
      <c r="AA54" s="21" t="s">
        <v>56</v>
      </c>
      <c r="AB54" s="14">
        <v>91.6</v>
      </c>
      <c r="AC54" s="14">
        <v>90.6</v>
      </c>
      <c r="AD54" s="14">
        <v>90.5</v>
      </c>
      <c r="AE54" s="14">
        <v>93.3</v>
      </c>
      <c r="AF54" s="14">
        <v>92.8</v>
      </c>
      <c r="AG54" s="14">
        <v>93.6</v>
      </c>
      <c r="AH54" s="14">
        <v>93.2</v>
      </c>
      <c r="AI54" s="14">
        <v>94.1</v>
      </c>
      <c r="AJ54" s="14">
        <v>93.4</v>
      </c>
      <c r="AK54" s="14">
        <v>94.2</v>
      </c>
      <c r="AL54" s="14">
        <v>95.4</v>
      </c>
    </row>
    <row r="55" spans="1:38" ht="15.75" x14ac:dyDescent="0.25">
      <c r="A55" s="22" t="s">
        <v>57</v>
      </c>
      <c r="B55" s="16">
        <v>39</v>
      </c>
      <c r="C55" s="16">
        <v>43.3</v>
      </c>
      <c r="D55" s="16">
        <v>48</v>
      </c>
      <c r="E55" s="16">
        <v>39.5</v>
      </c>
      <c r="F55" s="16">
        <v>42.3</v>
      </c>
      <c r="G55" s="16">
        <v>45.2</v>
      </c>
      <c r="H55" s="16">
        <v>53.3</v>
      </c>
      <c r="I55" s="16">
        <v>46.9</v>
      </c>
      <c r="J55" s="16">
        <v>48</v>
      </c>
      <c r="K55" s="16">
        <v>45.9</v>
      </c>
      <c r="L55" s="16">
        <v>43.6</v>
      </c>
      <c r="M55" s="12"/>
      <c r="N55" s="22" t="s">
        <v>57</v>
      </c>
      <c r="O55" s="17">
        <v>74641</v>
      </c>
      <c r="P55" s="17">
        <v>80953</v>
      </c>
      <c r="Q55" s="17">
        <v>87931</v>
      </c>
      <c r="R55" s="17">
        <v>70493</v>
      </c>
      <c r="S55" s="17">
        <v>75036</v>
      </c>
      <c r="T55" s="17">
        <v>79663</v>
      </c>
      <c r="U55" s="17">
        <v>92455</v>
      </c>
      <c r="V55" s="17">
        <v>80576</v>
      </c>
      <c r="W55" s="17">
        <v>82339</v>
      </c>
      <c r="X55" s="17">
        <v>78350</v>
      </c>
      <c r="Y55" s="17">
        <v>74533</v>
      </c>
      <c r="Z55" s="14"/>
      <c r="AA55" s="22" t="s">
        <v>57</v>
      </c>
      <c r="AB55" s="18">
        <v>143.30000000000001</v>
      </c>
      <c r="AC55" s="18">
        <v>148.19999999999999</v>
      </c>
      <c r="AD55" s="18">
        <v>164.5</v>
      </c>
      <c r="AE55" s="18">
        <v>140</v>
      </c>
      <c r="AF55" s="18">
        <v>144.6</v>
      </c>
      <c r="AG55" s="18">
        <v>147.1</v>
      </c>
      <c r="AH55" s="18">
        <v>161.4</v>
      </c>
      <c r="AI55" s="18">
        <v>140.19999999999999</v>
      </c>
      <c r="AJ55" s="18">
        <v>136.1</v>
      </c>
      <c r="AK55" s="18">
        <v>125.1</v>
      </c>
      <c r="AL55" s="18">
        <v>117.9</v>
      </c>
    </row>
    <row r="56" spans="1:38" ht="15.75" x14ac:dyDescent="0.25">
      <c r="A56" s="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3"/>
      <c r="N56" s="4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4"/>
      <c r="AA56" s="4"/>
      <c r="AB56" s="14" t="s">
        <v>58</v>
      </c>
      <c r="AC56" s="14" t="s">
        <v>58</v>
      </c>
      <c r="AD56" s="14" t="s">
        <v>58</v>
      </c>
      <c r="AE56" s="14" t="s">
        <v>58</v>
      </c>
      <c r="AF56" s="14" t="s">
        <v>58</v>
      </c>
      <c r="AG56" s="14" t="s">
        <v>58</v>
      </c>
      <c r="AH56" s="14" t="s">
        <v>58</v>
      </c>
      <c r="AI56" s="14" t="s">
        <v>58</v>
      </c>
      <c r="AJ56" s="14" t="s">
        <v>58</v>
      </c>
      <c r="AK56" s="14" t="s">
        <v>58</v>
      </c>
    </row>
    <row r="57" spans="1:38" ht="16.5" thickBot="1" x14ac:dyDescent="0.3">
      <c r="A57" s="24" t="s">
        <v>59</v>
      </c>
      <c r="B57" s="25">
        <v>15542.9</v>
      </c>
      <c r="C57" s="25">
        <v>16449.900000000001</v>
      </c>
      <c r="D57" s="25">
        <v>16251.3</v>
      </c>
      <c r="E57" s="25">
        <v>15449.7</v>
      </c>
      <c r="F57" s="25">
        <v>16055.4</v>
      </c>
      <c r="G57" s="25">
        <v>16871.599999999999</v>
      </c>
      <c r="H57" s="25">
        <v>17987.400000000001</v>
      </c>
      <c r="I57" s="25">
        <v>18177.599999999999</v>
      </c>
      <c r="J57" s="25">
        <v>19282.099999999999</v>
      </c>
      <c r="K57" s="25">
        <v>20102.3</v>
      </c>
      <c r="L57" s="25">
        <v>20443.5</v>
      </c>
      <c r="M57" s="12"/>
      <c r="N57" s="24" t="s">
        <v>59</v>
      </c>
      <c r="O57" s="26">
        <v>52091</v>
      </c>
      <c r="P57" s="26">
        <v>54609</v>
      </c>
      <c r="Q57" s="26">
        <v>53442</v>
      </c>
      <c r="R57" s="26">
        <v>50362</v>
      </c>
      <c r="S57" s="26">
        <v>51902</v>
      </c>
      <c r="T57" s="26">
        <v>54137</v>
      </c>
      <c r="U57" s="26">
        <v>57286</v>
      </c>
      <c r="V57" s="26">
        <v>57481</v>
      </c>
      <c r="W57" s="26">
        <v>60517</v>
      </c>
      <c r="X57" s="26">
        <v>62616</v>
      </c>
      <c r="Y57" s="26">
        <v>63213</v>
      </c>
      <c r="Z57" s="27"/>
      <c r="AA57" s="24" t="s">
        <v>59</v>
      </c>
      <c r="AB57" s="28">
        <v>100</v>
      </c>
      <c r="AC57" s="28">
        <v>100</v>
      </c>
      <c r="AD57" s="28">
        <v>100</v>
      </c>
      <c r="AE57" s="28">
        <v>100</v>
      </c>
      <c r="AF57" s="28">
        <v>100</v>
      </c>
      <c r="AG57" s="28">
        <v>100</v>
      </c>
      <c r="AH57" s="28">
        <v>100</v>
      </c>
      <c r="AI57" s="28">
        <v>100</v>
      </c>
      <c r="AJ57" s="28">
        <v>100</v>
      </c>
      <c r="AK57" s="28">
        <v>100</v>
      </c>
      <c r="AL57" s="28">
        <v>100</v>
      </c>
    </row>
    <row r="58" spans="1:38" ht="13.5" thickTop="1" x14ac:dyDescent="0.2">
      <c r="B58" s="29"/>
      <c r="C58" s="29"/>
      <c r="D58" s="29"/>
      <c r="E58" s="29"/>
      <c r="F58" s="29"/>
      <c r="G58" s="29"/>
      <c r="H58" s="30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spans="1:38" ht="12.75" customHeight="1" x14ac:dyDescent="0.2">
      <c r="A59" s="32" t="s">
        <v>60</v>
      </c>
      <c r="B59" s="32"/>
      <c r="C59" s="32"/>
      <c r="D59" s="32"/>
      <c r="E59" s="32"/>
      <c r="F59" s="32"/>
      <c r="G59" s="32"/>
      <c r="H59" s="32"/>
      <c r="I59" s="32"/>
      <c r="J59" s="32"/>
      <c r="K59" s="31"/>
      <c r="L59" s="31"/>
      <c r="M59" s="31"/>
      <c r="N59" s="32" t="s">
        <v>60</v>
      </c>
      <c r="O59" s="32"/>
      <c r="P59" s="32"/>
      <c r="Q59" s="32"/>
      <c r="R59" s="32"/>
      <c r="S59" s="32"/>
      <c r="T59" s="32"/>
      <c r="U59" s="32"/>
      <c r="V59" s="32"/>
      <c r="W59" s="32"/>
      <c r="X59" s="31"/>
      <c r="Y59" s="31"/>
      <c r="Z59" s="31"/>
      <c r="AA59" s="32" t="s">
        <v>60</v>
      </c>
      <c r="AB59" s="32"/>
      <c r="AC59" s="32"/>
      <c r="AD59" s="32"/>
      <c r="AE59" s="32"/>
      <c r="AF59" s="32"/>
      <c r="AG59" s="32"/>
      <c r="AH59" s="32"/>
      <c r="AI59" s="32"/>
      <c r="AJ59" s="32"/>
    </row>
    <row r="60" spans="1:38" ht="18" customHeight="1" x14ac:dyDescent="0.2">
      <c r="A60" s="32" t="s">
        <v>61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2"/>
      <c r="N60" s="32" t="str">
        <f>A60</f>
        <v xml:space="preserve">For details about the methodology for estimating TTR, please visit http://www.treasury.gov/resource-center/economic-policy/taxable-resources/Pages/Total-Taxable-Resources.aspx. </v>
      </c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2" t="str">
        <f>A60</f>
        <v xml:space="preserve">For details about the methodology for estimating TTR, please visit http://www.treasury.gov/resource-center/economic-policy/taxable-resources/Pages/Total-Taxable-Resources.aspx. </v>
      </c>
      <c r="AB60" s="34"/>
      <c r="AC60" s="34"/>
    </row>
    <row r="61" spans="1:38" ht="18" customHeight="1" x14ac:dyDescent="0.2">
      <c r="A61" s="32" t="s">
        <v>62</v>
      </c>
      <c r="B61" s="34"/>
      <c r="C61" s="34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 t="str">
        <f>A61</f>
        <v>Note that "United States" now exclusively refers to the 50 states + DC.</v>
      </c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2" t="str">
        <f>A61</f>
        <v>Note that "United States" now exclusively refers to the 50 states + DC.</v>
      </c>
      <c r="AB61" s="34"/>
      <c r="AC61" s="34"/>
    </row>
    <row r="62" spans="1:38" ht="18" customHeight="1" x14ac:dyDescent="0.2">
      <c r="A62" s="32" t="s">
        <v>63</v>
      </c>
      <c r="B62" s="34"/>
      <c r="C62" s="34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 t="s">
        <v>63</v>
      </c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2" t="s">
        <v>63</v>
      </c>
      <c r="AB62" s="34"/>
      <c r="AC62" s="34"/>
    </row>
    <row r="63" spans="1:38" ht="18" customHeight="1" x14ac:dyDescent="0.2">
      <c r="A63" s="35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5" t="s">
        <v>58</v>
      </c>
      <c r="O63" s="32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5" t="s">
        <v>58</v>
      </c>
      <c r="AB63" s="34"/>
    </row>
    <row r="64" spans="1:38" ht="24.2" customHeight="1" x14ac:dyDescent="0.25">
      <c r="A64" s="36" t="s">
        <v>64</v>
      </c>
      <c r="B64" s="36"/>
      <c r="C64" s="36"/>
      <c r="D64" s="36"/>
      <c r="E64" s="36"/>
      <c r="F64" s="36"/>
      <c r="J64" s="37" t="s">
        <v>65</v>
      </c>
      <c r="N64" s="36" t="s">
        <v>64</v>
      </c>
      <c r="O64" s="36"/>
      <c r="P64" s="36"/>
      <c r="Q64" s="36"/>
      <c r="R64" s="36"/>
      <c r="S64" s="36"/>
      <c r="W64" s="37" t="s">
        <v>65</v>
      </c>
      <c r="AA64" s="36" t="s">
        <v>64</v>
      </c>
      <c r="AB64" s="36"/>
      <c r="AC64" s="36"/>
      <c r="AD64" s="36"/>
      <c r="AE64" s="36"/>
      <c r="AF64" s="36"/>
      <c r="AJ64" s="37" t="s">
        <v>65</v>
      </c>
    </row>
    <row r="68" spans="2:12" ht="12.75" customHeight="1" x14ac:dyDescent="0.2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</row>
  </sheetData>
  <dataConsolidate/>
  <pageMargins left="0.7" right="0.7" top="0.75" bottom="0.75" header="0.3" footer="0.3"/>
  <pageSetup scale="58" orientation="portrait" r:id="rId1"/>
  <colBreaks count="2" manualBreakCount="2">
    <brk id="13" max="1048575" man="1"/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2018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2018-09-25T17:51:54Z</dcterms:created>
  <dcterms:modified xsi:type="dcterms:W3CDTF">2018-10-05T16:45:27Z</dcterms:modified>
</cp:coreProperties>
</file>