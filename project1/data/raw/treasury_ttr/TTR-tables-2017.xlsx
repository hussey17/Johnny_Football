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3020"/>
  </bookViews>
  <sheets>
    <sheet name="table 2017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64" i="2" l="1"/>
  <c r="T64" i="2"/>
  <c r="AA61" i="2"/>
  <c r="N61" i="2"/>
  <c r="AA60" i="2"/>
  <c r="N60" i="2"/>
</calcChain>
</file>

<file path=xl/sharedStrings.xml><?xml version="1.0" encoding="utf-8"?>
<sst xmlns="http://schemas.openxmlformats.org/spreadsheetml/2006/main" count="189" uniqueCount="66">
  <si>
    <t>TOTAL TAXABLE RESOURCES</t>
  </si>
  <si>
    <t>Table 1</t>
  </si>
  <si>
    <t>Table 2</t>
  </si>
  <si>
    <t>Table 3</t>
  </si>
  <si>
    <t>Billions of Dollars</t>
  </si>
  <si>
    <t>Dollars Per Capita</t>
  </si>
  <si>
    <t>Per Capita Index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</si>
  <si>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</si>
  <si>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</si>
  <si>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</si>
  <si>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</si>
  <si>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</si>
  <si>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</si>
  <si>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</si>
  <si>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</si>
  <si>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</si>
  <si>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</si>
  <si>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</si>
  <si>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</si>
  <si>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</si>
  <si>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</si>
  <si>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</si>
  <si>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</si>
  <si>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</si>
  <si>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</si>
  <si>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</si>
  <si>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</si>
  <si>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</si>
  <si>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</si>
  <si>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</si>
  <si>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</si>
  <si>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</si>
  <si>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</si>
  <si>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</si>
  <si>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</si>
  <si>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</si>
  <si>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</si>
  <si>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</si>
  <si>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</si>
  <si>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</si>
  <si>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</si>
  <si>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</si>
  <si>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</si>
  <si>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</si>
  <si>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</si>
  <si>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</si>
  <si>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</si>
  <si>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</si>
  <si>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</si>
  <si>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</si>
  <si>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</si>
  <si>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</si>
  <si>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</si>
  <si>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</si>
  <si>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</si>
  <si>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</si>
  <si>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</si>
  <si>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</si>
  <si>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</t>
  </si>
  <si>
    <t>United States</t>
  </si>
  <si>
    <t xml:space="preserve">Data Sources:  Bureau of Economic Analysis (BEA), Department of Commerce; Internal Revenue Service. </t>
  </si>
  <si>
    <t xml:space="preserve">For details about the methodology for estimating TTR, please visit http://www.treasury.gov/resource-center/economic-policy/taxable-resources/Pages/Total-Taxable-Resources.aspx. </t>
  </si>
  <si>
    <t>Note that "United States" now exclusively refers to the 50 states + DC.</t>
  </si>
  <si>
    <t xml:space="preserve">Please direct questions or comments regarding TTR to the Treasury Department at (202) 622-2200. </t>
  </si>
  <si>
    <t xml:space="preserve">Office of Economic Policy, U.S. Department of Treasury.  </t>
  </si>
  <si>
    <t>September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</si>
</sst>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"/>
    <numFmt numFmtId="166" formatCode="#,##0.0_);\(#,##0.0\)"/>
  </numFmts>
  <fonts count="12" x14ac:knownFonts="1">
    <font>
      <sz val="11"/>
      <color theme="1"/>
      <name val="Calibri"/>
      <family val="2"/>
      <scheme val="minor"/>
    </font>
    <font>
      <b/>
      <u/>
      <sz val="14"/>
      <name val="Times New Roman"/>
      <family val="1"/>
    </font>
    <font>
      <b/>
      <u/>
      <sz val="14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i/>
      <sz val="12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4" fillId="0" borderId="1" xfId="0" applyFont="1" applyFill="1" applyBorder="1" applyAlignment="1" applyProtection="1">
      <alignment horizontal="right"/>
    </xf>
    <xf numFmtId="0" fontId="4" fillId="0" borderId="1" xfId="0" applyFont="1" applyFill="1" applyBorder="1" applyAlignment="1" applyProtection="1">
      <alignment horizontal="center"/>
    </xf>
    <xf numFmtId="0" fontId="6" fillId="0" borderId="1" xfId="0" applyFont="1" applyBorder="1"/>
    <xf numFmtId="0" fontId="4" fillId="0" borderId="0" xfId="0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/>
    </xf>
    <xf numFmtId="164" fontId="4" fillId="0" borderId="0" xfId="0" applyNumberFormat="1" applyFont="1" applyFill="1" applyBorder="1" applyAlignment="1" applyProtection="1">
      <alignment horizontal="right"/>
    </xf>
    <xf numFmtId="3" fontId="4" fillId="0" borderId="0" xfId="0" applyNumberFormat="1" applyFont="1" applyFill="1" applyBorder="1" applyAlignment="1" applyProtection="1">
      <alignment horizontal="center"/>
    </xf>
    <xf numFmtId="165" fontId="4" fillId="0" borderId="0" xfId="0" applyNumberFormat="1" applyFont="1" applyFill="1" applyBorder="1" applyAlignment="1" applyProtection="1">
      <alignment horizontal="right"/>
    </xf>
    <xf numFmtId="0" fontId="4" fillId="0" borderId="2" xfId="0" applyFont="1" applyBorder="1"/>
    <xf numFmtId="164" fontId="4" fillId="0" borderId="3" xfId="0" applyNumberFormat="1" applyFont="1" applyFill="1" applyBorder="1" applyAlignment="1" applyProtection="1">
      <alignment horizontal="right"/>
    </xf>
    <xf numFmtId="3" fontId="4" fillId="0" borderId="3" xfId="0" applyNumberFormat="1" applyFont="1" applyFill="1" applyBorder="1" applyAlignment="1" applyProtection="1">
      <alignment horizontal="center"/>
    </xf>
    <xf numFmtId="165" fontId="4" fillId="0" borderId="3" xfId="0" applyNumberFormat="1" applyFont="1" applyFill="1" applyBorder="1" applyAlignment="1" applyProtection="1">
      <alignment horizontal="right"/>
    </xf>
    <xf numFmtId="165" fontId="7" fillId="0" borderId="0" xfId="0" applyNumberFormat="1" applyFont="1" applyFill="1" applyBorder="1" applyAlignment="1" applyProtection="1">
      <alignment horizontal="right"/>
    </xf>
    <xf numFmtId="0" fontId="4" fillId="0" borderId="3" xfId="0" applyFont="1" applyBorder="1"/>
    <xf numFmtId="0" fontId="4" fillId="0" borderId="0" xfId="0" applyFont="1" applyBorder="1"/>
    <xf numFmtId="164" fontId="4" fillId="0" borderId="3" xfId="0" applyNumberFormat="1" applyFont="1" applyFill="1" applyBorder="1" applyAlignment="1" applyProtection="1">
      <alignment horizontal="left"/>
    </xf>
    <xf numFmtId="164" fontId="4" fillId="0" borderId="0" xfId="0" applyNumberFormat="1" applyFont="1" applyFill="1" applyBorder="1" applyAlignment="1" applyProtection="1">
      <alignment horizontal="center"/>
    </xf>
    <xf numFmtId="0" fontId="4" fillId="0" borderId="4" xfId="0" applyFont="1" applyBorder="1"/>
    <xf numFmtId="165" fontId="4" fillId="0" borderId="4" xfId="0" applyNumberFormat="1" applyFont="1" applyBorder="1"/>
    <xf numFmtId="166" fontId="4" fillId="0" borderId="0" xfId="0" applyNumberFormat="1" applyFont="1" applyBorder="1" applyAlignment="1" applyProtecti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7" fontId="11" fillId="0" borderId="0" xfId="0" quotePrefix="1" applyNumberFormat="1" applyFont="1"/>
    <xf numFmtId="165" fontId="0" fillId="0" borderId="0" xfId="0" applyNumberFormat="1"/>
    <xf numFmtId="0" fontId="3" fillId="0" borderId="0" xfId="0" applyFont="1" applyAlignmen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 wrapText="1"/>
    </xf>
    <xf numFmtId="164" fontId="4" fillId="0" borderId="4" xfId="0" applyNumberFormat="1" applyFont="1" applyFill="1" applyBorder="1" applyAlignment="1" applyProtection="1">
      <alignment horizontal="right"/>
    </xf>
    <xf numFmtId="3" fontId="4" fillId="0" borderId="4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8"/>
  <sheetViews>
    <sheetView tabSelected="1" workbookViewId="0">
      <selection activeCell="D11" sqref="D11"/>
    </sheetView>
  </sheetViews>
  <sheetFormatPr defaultRowHeight="15" x14ac:dyDescent="0.25"/>
  <cols>
    <col min="1" max="1" width="24.7109375" customWidth="1"/>
    <col min="2" max="12" width="10.7109375" customWidth="1"/>
    <col min="13" max="13" width="4.28515625" customWidth="1"/>
    <col min="14" max="14" width="24.7109375" customWidth="1"/>
    <col min="15" max="25" width="10.7109375" customWidth="1"/>
    <col min="26" max="26" width="4.28515625" customWidth="1"/>
    <col min="27" max="27" width="24.7109375" customWidth="1"/>
    <col min="28" max="38" width="10.7109375" customWidth="1"/>
  </cols>
  <sheetData>
    <row r="1" spans="1:38" ht="18.75" x14ac:dyDescent="0.3">
      <c r="A1" s="36" t="s">
        <v>0</v>
      </c>
      <c r="B1" s="36"/>
      <c r="C1" s="36"/>
      <c r="D1" s="36"/>
      <c r="E1" s="36"/>
      <c r="F1" s="36"/>
      <c r="G1" s="36"/>
      <c r="H1" s="1"/>
      <c r="I1" s="1"/>
      <c r="J1" s="1"/>
      <c r="K1" s="1"/>
      <c r="L1" s="1"/>
      <c r="M1" s="1"/>
      <c r="N1" s="36" t="s">
        <v>0</v>
      </c>
      <c r="O1" s="36"/>
      <c r="P1" s="36"/>
      <c r="Q1" s="36"/>
      <c r="R1" s="36"/>
      <c r="S1" s="36"/>
      <c r="T1" s="36"/>
      <c r="U1" s="2"/>
      <c r="V1" s="2"/>
      <c r="W1" s="2"/>
      <c r="X1" s="2"/>
      <c r="Y1" s="2"/>
      <c r="Z1" s="2"/>
      <c r="AA1" s="36" t="s">
        <v>0</v>
      </c>
      <c r="AB1" s="36"/>
      <c r="AC1" s="36"/>
      <c r="AD1" s="36"/>
      <c r="AE1" s="36"/>
      <c r="AF1" s="36"/>
      <c r="AG1" s="36"/>
    </row>
    <row r="2" spans="1:38" ht="15.75" x14ac:dyDescent="0.25">
      <c r="A2" s="3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 t="s">
        <v>3</v>
      </c>
      <c r="AB2" s="2"/>
      <c r="AC2" s="3"/>
    </row>
    <row r="3" spans="1:38" ht="15.75" x14ac:dyDescent="0.25">
      <c r="A3" s="5" t="s">
        <v>4</v>
      </c>
      <c r="M3" s="2"/>
      <c r="N3" s="5" t="s">
        <v>5</v>
      </c>
      <c r="Z3" s="2"/>
      <c r="AA3" s="5" t="s">
        <v>6</v>
      </c>
    </row>
    <row r="4" spans="1:38" ht="16.5" thickBot="1" x14ac:dyDescent="0.3">
      <c r="A4" s="8"/>
      <c r="B4" s="6">
        <v>2005</v>
      </c>
      <c r="C4" s="6">
        <v>2006</v>
      </c>
      <c r="D4" s="6">
        <v>2007</v>
      </c>
      <c r="E4" s="6">
        <v>2008</v>
      </c>
      <c r="F4" s="6">
        <v>2009</v>
      </c>
      <c r="G4" s="6">
        <v>2010</v>
      </c>
      <c r="H4" s="6">
        <v>2011</v>
      </c>
      <c r="I4" s="6">
        <v>2012</v>
      </c>
      <c r="J4" s="6">
        <v>2013</v>
      </c>
      <c r="K4" s="6">
        <v>2014</v>
      </c>
      <c r="L4" s="6">
        <v>2015</v>
      </c>
      <c r="M4" s="9"/>
      <c r="N4" s="7"/>
      <c r="O4" s="7">
        <v>2005</v>
      </c>
      <c r="P4" s="7">
        <v>2006</v>
      </c>
      <c r="Q4" s="7">
        <v>2007</v>
      </c>
      <c r="R4" s="7">
        <v>2008</v>
      </c>
      <c r="S4" s="7">
        <v>2009</v>
      </c>
      <c r="T4" s="7">
        <v>2010</v>
      </c>
      <c r="U4" s="7">
        <v>2011</v>
      </c>
      <c r="V4" s="7">
        <v>2012</v>
      </c>
      <c r="W4" s="7">
        <v>2013</v>
      </c>
      <c r="X4" s="7">
        <v>2014</v>
      </c>
      <c r="Y4" s="7">
        <v>2015</v>
      </c>
      <c r="Z4" s="10"/>
      <c r="AA4" s="6"/>
      <c r="AB4" s="6">
        <v>2005</v>
      </c>
      <c r="AC4" s="6">
        <v>2006</v>
      </c>
      <c r="AD4" s="6">
        <v>2007</v>
      </c>
      <c r="AE4" s="6">
        <v>2008</v>
      </c>
      <c r="AF4" s="6">
        <v>2009</v>
      </c>
      <c r="AG4" s="6">
        <v>2010</v>
      </c>
      <c r="AH4" s="6">
        <v>2011</v>
      </c>
      <c r="AI4" s="6">
        <v>2012</v>
      </c>
      <c r="AJ4" s="6">
        <v>2013</v>
      </c>
      <c r="AK4" s="6">
        <v>2014</v>
      </c>
      <c r="AL4" s="6">
        <v>2015</v>
      </c>
    </row>
    <row r="5" spans="1:38" ht="16.5" thickTop="1" x14ac:dyDescent="0.25">
      <c r="A5" s="4" t="s">
        <v>7</v>
      </c>
      <c r="B5" s="11">
        <v>173.9</v>
      </c>
      <c r="C5" s="11">
        <v>185.1</v>
      </c>
      <c r="D5" s="11">
        <v>193.6</v>
      </c>
      <c r="E5" s="11">
        <v>193.1</v>
      </c>
      <c r="F5" s="11">
        <v>183.4</v>
      </c>
      <c r="G5" s="11">
        <v>190.2</v>
      </c>
      <c r="H5" s="11">
        <v>198.3</v>
      </c>
      <c r="I5" s="11">
        <v>207.6</v>
      </c>
      <c r="J5" s="11">
        <v>209.1</v>
      </c>
      <c r="K5" s="11">
        <v>215.6</v>
      </c>
      <c r="L5" s="11">
        <v>221.9</v>
      </c>
      <c r="M5" s="11"/>
      <c r="N5" s="4" t="s">
        <v>7</v>
      </c>
      <c r="O5" s="12">
        <v>38058</v>
      </c>
      <c r="P5" s="12">
        <v>39983</v>
      </c>
      <c r="Q5" s="12">
        <v>41424</v>
      </c>
      <c r="R5" s="12">
        <v>40929</v>
      </c>
      <c r="S5" s="12">
        <v>38540</v>
      </c>
      <c r="T5" s="12">
        <v>39741</v>
      </c>
      <c r="U5" s="12">
        <v>41314</v>
      </c>
      <c r="V5" s="12">
        <v>43099</v>
      </c>
      <c r="W5" s="12">
        <v>43291</v>
      </c>
      <c r="X5" s="12">
        <v>44513</v>
      </c>
      <c r="Y5" s="12">
        <v>45711</v>
      </c>
      <c r="Z5" s="13"/>
      <c r="AA5" s="4" t="s">
        <v>7</v>
      </c>
      <c r="AB5" s="13">
        <v>77.8</v>
      </c>
      <c r="AC5" s="13">
        <v>76.7</v>
      </c>
      <c r="AD5" s="13">
        <v>75.8</v>
      </c>
      <c r="AE5" s="13">
        <v>76.599999999999994</v>
      </c>
      <c r="AF5" s="13">
        <v>76.5</v>
      </c>
      <c r="AG5" s="13">
        <v>76.599999999999994</v>
      </c>
      <c r="AH5" s="13">
        <v>76.3</v>
      </c>
      <c r="AI5" s="13">
        <v>75.3</v>
      </c>
      <c r="AJ5" s="13">
        <v>75.3</v>
      </c>
      <c r="AK5" s="13">
        <v>73.7</v>
      </c>
      <c r="AL5" s="13">
        <v>73.400000000000006</v>
      </c>
    </row>
    <row r="6" spans="1:38" ht="15.75" x14ac:dyDescent="0.25">
      <c r="A6" s="4" t="s">
        <v>8</v>
      </c>
      <c r="B6" s="11">
        <v>41.4</v>
      </c>
      <c r="C6" s="11">
        <v>46.6</v>
      </c>
      <c r="D6" s="11">
        <v>51.7</v>
      </c>
      <c r="E6" s="11">
        <v>56.6</v>
      </c>
      <c r="F6" s="11">
        <v>50.8</v>
      </c>
      <c r="G6" s="11">
        <v>54.5</v>
      </c>
      <c r="H6" s="11">
        <v>59.5</v>
      </c>
      <c r="I6" s="11">
        <v>62.2</v>
      </c>
      <c r="J6" s="11">
        <v>60.2</v>
      </c>
      <c r="K6" s="11">
        <v>59.3</v>
      </c>
      <c r="L6" s="11">
        <v>54.7</v>
      </c>
      <c r="M6" s="11"/>
      <c r="N6" s="4" t="s">
        <v>8</v>
      </c>
      <c r="O6" s="12">
        <v>62108</v>
      </c>
      <c r="P6" s="12">
        <v>69016</v>
      </c>
      <c r="Q6" s="12">
        <v>76069</v>
      </c>
      <c r="R6" s="12">
        <v>82341</v>
      </c>
      <c r="S6" s="12">
        <v>72649</v>
      </c>
      <c r="T6" s="12">
        <v>76278</v>
      </c>
      <c r="U6" s="12">
        <v>82327</v>
      </c>
      <c r="V6" s="12">
        <v>85145</v>
      </c>
      <c r="W6" s="12">
        <v>81665</v>
      </c>
      <c r="X6" s="12">
        <v>80502</v>
      </c>
      <c r="Y6" s="12">
        <v>74177</v>
      </c>
      <c r="Z6" s="13"/>
      <c r="AA6" s="4" t="s">
        <v>8</v>
      </c>
      <c r="AB6" s="13">
        <v>126.9</v>
      </c>
      <c r="AC6" s="13">
        <v>132.5</v>
      </c>
      <c r="AD6" s="13">
        <v>139.30000000000001</v>
      </c>
      <c r="AE6" s="13">
        <v>154.1</v>
      </c>
      <c r="AF6" s="13">
        <v>144.19999999999999</v>
      </c>
      <c r="AG6" s="13">
        <v>147</v>
      </c>
      <c r="AH6" s="13">
        <v>152.1</v>
      </c>
      <c r="AI6" s="13">
        <v>148.69999999999999</v>
      </c>
      <c r="AJ6" s="13">
        <v>142.1</v>
      </c>
      <c r="AK6" s="13">
        <v>133.30000000000001</v>
      </c>
      <c r="AL6" s="13">
        <v>119.1</v>
      </c>
    </row>
    <row r="7" spans="1:38" ht="15.75" x14ac:dyDescent="0.25">
      <c r="A7" s="4" t="s">
        <v>9</v>
      </c>
      <c r="B7" s="11">
        <v>256.8</v>
      </c>
      <c r="C7" s="11">
        <v>281.89999999999998</v>
      </c>
      <c r="D7" s="11">
        <v>298.39999999999998</v>
      </c>
      <c r="E7" s="11">
        <v>282.39999999999998</v>
      </c>
      <c r="F7" s="11">
        <v>259.60000000000002</v>
      </c>
      <c r="G7" s="11">
        <v>263.2</v>
      </c>
      <c r="H7" s="11">
        <v>275.89999999999998</v>
      </c>
      <c r="I7" s="11">
        <v>292.89999999999998</v>
      </c>
      <c r="J7" s="11">
        <v>294.3</v>
      </c>
      <c r="K7" s="11">
        <v>309.89999999999998</v>
      </c>
      <c r="L7" s="11">
        <v>323</v>
      </c>
      <c r="M7" s="11"/>
      <c r="N7" s="4" t="s">
        <v>9</v>
      </c>
      <c r="O7" s="12">
        <v>43980</v>
      </c>
      <c r="P7" s="12">
        <v>46763</v>
      </c>
      <c r="Q7" s="12">
        <v>48375</v>
      </c>
      <c r="R7" s="12">
        <v>44966</v>
      </c>
      <c r="S7" s="12">
        <v>40925</v>
      </c>
      <c r="T7" s="12">
        <v>41067</v>
      </c>
      <c r="U7" s="12">
        <v>42666</v>
      </c>
      <c r="V7" s="12">
        <v>44715</v>
      </c>
      <c r="W7" s="12">
        <v>44424</v>
      </c>
      <c r="X7" s="12">
        <v>46120</v>
      </c>
      <c r="Y7" s="12">
        <v>47376</v>
      </c>
      <c r="Z7" s="13"/>
      <c r="AA7" s="4" t="s">
        <v>9</v>
      </c>
      <c r="AB7" s="13">
        <v>89.9</v>
      </c>
      <c r="AC7" s="13">
        <v>89.8</v>
      </c>
      <c r="AD7" s="13">
        <v>88.6</v>
      </c>
      <c r="AE7" s="13">
        <v>84.1</v>
      </c>
      <c r="AF7" s="13">
        <v>81.3</v>
      </c>
      <c r="AG7" s="13">
        <v>79.099999999999994</v>
      </c>
      <c r="AH7" s="13">
        <v>78.8</v>
      </c>
      <c r="AI7" s="13">
        <v>78.099999999999994</v>
      </c>
      <c r="AJ7" s="13">
        <v>77.3</v>
      </c>
      <c r="AK7" s="13">
        <v>76.3</v>
      </c>
      <c r="AL7" s="13">
        <v>76.099999999999994</v>
      </c>
    </row>
    <row r="8" spans="1:38" ht="15.75" x14ac:dyDescent="0.25">
      <c r="A8" s="4" t="s">
        <v>10</v>
      </c>
      <c r="B8" s="11">
        <v>99.7</v>
      </c>
      <c r="C8" s="11">
        <v>106.2</v>
      </c>
      <c r="D8" s="11">
        <v>111.5</v>
      </c>
      <c r="E8" s="11">
        <v>113.2</v>
      </c>
      <c r="F8" s="11">
        <v>108.2</v>
      </c>
      <c r="G8" s="11">
        <v>112.8</v>
      </c>
      <c r="H8" s="11">
        <v>120.2</v>
      </c>
      <c r="I8" s="11">
        <v>127</v>
      </c>
      <c r="J8" s="11">
        <v>128.4</v>
      </c>
      <c r="K8" s="11">
        <v>135</v>
      </c>
      <c r="L8" s="11">
        <v>137.19999999999999</v>
      </c>
      <c r="M8" s="11"/>
      <c r="N8" s="4" t="s">
        <v>10</v>
      </c>
      <c r="O8" s="12">
        <v>35859</v>
      </c>
      <c r="P8" s="12">
        <v>37650</v>
      </c>
      <c r="Q8" s="12">
        <v>39146</v>
      </c>
      <c r="R8" s="12">
        <v>39383</v>
      </c>
      <c r="S8" s="12">
        <v>37339</v>
      </c>
      <c r="T8" s="12">
        <v>38603</v>
      </c>
      <c r="U8" s="12">
        <v>40893</v>
      </c>
      <c r="V8" s="12">
        <v>43044</v>
      </c>
      <c r="W8" s="12">
        <v>43388</v>
      </c>
      <c r="X8" s="12">
        <v>45506</v>
      </c>
      <c r="Y8" s="12">
        <v>46072</v>
      </c>
      <c r="Z8" s="13"/>
      <c r="AA8" s="4" t="s">
        <v>10</v>
      </c>
      <c r="AB8" s="13">
        <v>73.3</v>
      </c>
      <c r="AC8" s="13">
        <v>72.3</v>
      </c>
      <c r="AD8" s="13">
        <v>71.7</v>
      </c>
      <c r="AE8" s="13">
        <v>73.7</v>
      </c>
      <c r="AF8" s="13">
        <v>74.099999999999994</v>
      </c>
      <c r="AG8" s="13">
        <v>74.400000000000006</v>
      </c>
      <c r="AH8" s="13">
        <v>75.5</v>
      </c>
      <c r="AI8" s="13">
        <v>75.2</v>
      </c>
      <c r="AJ8" s="13">
        <v>75.5</v>
      </c>
      <c r="AK8" s="13">
        <v>75.3</v>
      </c>
      <c r="AL8" s="13">
        <v>74</v>
      </c>
    </row>
    <row r="9" spans="1:38" ht="15.75" x14ac:dyDescent="0.25">
      <c r="A9" s="4" t="s">
        <v>11</v>
      </c>
      <c r="B9" s="11">
        <v>1929.1</v>
      </c>
      <c r="C9" s="11">
        <v>2080.1999999999998</v>
      </c>
      <c r="D9" s="11">
        <v>2187</v>
      </c>
      <c r="E9" s="11">
        <v>2138.3000000000002</v>
      </c>
      <c r="F9" s="11">
        <v>2004.8</v>
      </c>
      <c r="G9" s="11">
        <v>2069.9</v>
      </c>
      <c r="H9" s="11">
        <v>2171.9</v>
      </c>
      <c r="I9" s="11">
        <v>2338.1999999999998</v>
      </c>
      <c r="J9" s="11">
        <v>2381.6999999999998</v>
      </c>
      <c r="K9" s="11">
        <v>2565.1999999999998</v>
      </c>
      <c r="L9" s="11">
        <v>2722</v>
      </c>
      <c r="M9" s="11"/>
      <c r="N9" s="4" t="s">
        <v>11</v>
      </c>
      <c r="O9" s="12">
        <v>53842</v>
      </c>
      <c r="P9" s="12">
        <v>57749</v>
      </c>
      <c r="Q9" s="12">
        <v>60332</v>
      </c>
      <c r="R9" s="12">
        <v>58416</v>
      </c>
      <c r="S9" s="12">
        <v>54242</v>
      </c>
      <c r="T9" s="12">
        <v>55445</v>
      </c>
      <c r="U9" s="12">
        <v>57646</v>
      </c>
      <c r="V9" s="12">
        <v>61515</v>
      </c>
      <c r="W9" s="12">
        <v>62129</v>
      </c>
      <c r="X9" s="12">
        <v>66318</v>
      </c>
      <c r="Y9" s="12">
        <v>69807</v>
      </c>
      <c r="Z9" s="13"/>
      <c r="AA9" s="4" t="s">
        <v>11</v>
      </c>
      <c r="AB9" s="13">
        <v>110</v>
      </c>
      <c r="AC9" s="13">
        <v>110.8</v>
      </c>
      <c r="AD9" s="13">
        <v>110.5</v>
      </c>
      <c r="AE9" s="13">
        <v>109.3</v>
      </c>
      <c r="AF9" s="13">
        <v>107.7</v>
      </c>
      <c r="AG9" s="13">
        <v>106.8</v>
      </c>
      <c r="AH9" s="13">
        <v>106.5</v>
      </c>
      <c r="AI9" s="13">
        <v>107.4</v>
      </c>
      <c r="AJ9" s="13">
        <v>108.1</v>
      </c>
      <c r="AK9" s="13">
        <v>109.8</v>
      </c>
      <c r="AL9" s="13">
        <v>112.1</v>
      </c>
    </row>
    <row r="10" spans="1:38" ht="15.75" x14ac:dyDescent="0.25">
      <c r="A10" s="4" t="s">
        <v>12</v>
      </c>
      <c r="B10" s="11">
        <v>242.5</v>
      </c>
      <c r="C10" s="11">
        <v>261</v>
      </c>
      <c r="D10" s="11">
        <v>280.60000000000002</v>
      </c>
      <c r="E10" s="11">
        <v>279.2</v>
      </c>
      <c r="F10" s="11">
        <v>263.3</v>
      </c>
      <c r="G10" s="11">
        <v>269.8</v>
      </c>
      <c r="H10" s="11">
        <v>286.10000000000002</v>
      </c>
      <c r="I10" s="11">
        <v>304.60000000000002</v>
      </c>
      <c r="J10" s="11">
        <v>311.10000000000002</v>
      </c>
      <c r="K10" s="11">
        <v>336.1</v>
      </c>
      <c r="L10" s="11">
        <v>346.5</v>
      </c>
      <c r="M10" s="11"/>
      <c r="N10" s="4" t="s">
        <v>12</v>
      </c>
      <c r="O10" s="12">
        <v>52351</v>
      </c>
      <c r="P10" s="12">
        <v>55285</v>
      </c>
      <c r="Q10" s="12">
        <v>58418</v>
      </c>
      <c r="R10" s="12">
        <v>57104</v>
      </c>
      <c r="S10" s="12">
        <v>52959</v>
      </c>
      <c r="T10" s="12">
        <v>53438</v>
      </c>
      <c r="U10" s="12">
        <v>55898</v>
      </c>
      <c r="V10" s="12">
        <v>58686</v>
      </c>
      <c r="W10" s="12">
        <v>59063</v>
      </c>
      <c r="X10" s="12">
        <v>62824</v>
      </c>
      <c r="Y10" s="12">
        <v>63598</v>
      </c>
      <c r="Z10" s="13"/>
      <c r="AA10" s="4" t="s">
        <v>12</v>
      </c>
      <c r="AB10" s="13">
        <v>107</v>
      </c>
      <c r="AC10" s="13">
        <v>106.1</v>
      </c>
      <c r="AD10" s="13">
        <v>106.9</v>
      </c>
      <c r="AE10" s="13">
        <v>106.9</v>
      </c>
      <c r="AF10" s="13">
        <v>105.1</v>
      </c>
      <c r="AG10" s="13">
        <v>103</v>
      </c>
      <c r="AH10" s="13">
        <v>103.3</v>
      </c>
      <c r="AI10" s="13">
        <v>102.5</v>
      </c>
      <c r="AJ10" s="13">
        <v>102.8</v>
      </c>
      <c r="AK10" s="13">
        <v>104</v>
      </c>
      <c r="AL10" s="13">
        <v>102.1</v>
      </c>
    </row>
    <row r="11" spans="1:38" ht="15.75" x14ac:dyDescent="0.25">
      <c r="A11" s="4" t="s">
        <v>13</v>
      </c>
      <c r="B11" s="11">
        <v>251.2</v>
      </c>
      <c r="C11" s="11">
        <v>271.8</v>
      </c>
      <c r="D11" s="11">
        <v>298.8</v>
      </c>
      <c r="E11" s="11">
        <v>284.89999999999998</v>
      </c>
      <c r="F11" s="11">
        <v>269.5</v>
      </c>
      <c r="G11" s="11">
        <v>276.8</v>
      </c>
      <c r="H11" s="11">
        <v>279.7</v>
      </c>
      <c r="I11" s="11">
        <v>295.39999999999998</v>
      </c>
      <c r="J11" s="11">
        <v>291.10000000000002</v>
      </c>
      <c r="K11" s="11">
        <v>302.3</v>
      </c>
      <c r="L11" s="11">
        <v>314.2</v>
      </c>
      <c r="M11" s="11"/>
      <c r="N11" s="4" t="s">
        <v>13</v>
      </c>
      <c r="O11" s="12">
        <v>71639</v>
      </c>
      <c r="P11" s="12">
        <v>77282</v>
      </c>
      <c r="Q11" s="12">
        <v>84707</v>
      </c>
      <c r="R11" s="12">
        <v>80343</v>
      </c>
      <c r="S11" s="12">
        <v>75655</v>
      </c>
      <c r="T11" s="12">
        <v>77334</v>
      </c>
      <c r="U11" s="12">
        <v>77901</v>
      </c>
      <c r="V11" s="12">
        <v>82184</v>
      </c>
      <c r="W11" s="12">
        <v>80962</v>
      </c>
      <c r="X11" s="12">
        <v>84155</v>
      </c>
      <c r="Y11" s="12">
        <v>87638</v>
      </c>
      <c r="Z11" s="13"/>
      <c r="AA11" s="4" t="s">
        <v>13</v>
      </c>
      <c r="AB11" s="13">
        <v>146.4</v>
      </c>
      <c r="AC11" s="13">
        <v>148.30000000000001</v>
      </c>
      <c r="AD11" s="13">
        <v>155.1</v>
      </c>
      <c r="AE11" s="13">
        <v>150.30000000000001</v>
      </c>
      <c r="AF11" s="13">
        <v>150.19999999999999</v>
      </c>
      <c r="AG11" s="13">
        <v>149</v>
      </c>
      <c r="AH11" s="13">
        <v>143.9</v>
      </c>
      <c r="AI11" s="13">
        <v>143.5</v>
      </c>
      <c r="AJ11" s="13">
        <v>140.9</v>
      </c>
      <c r="AK11" s="13">
        <v>139.30000000000001</v>
      </c>
      <c r="AL11" s="13">
        <v>140.80000000000001</v>
      </c>
    </row>
    <row r="12" spans="1:38" ht="15.75" x14ac:dyDescent="0.25">
      <c r="A12" s="4" t="s">
        <v>14</v>
      </c>
      <c r="B12" s="11">
        <v>59.8</v>
      </c>
      <c r="C12" s="11">
        <v>63.4</v>
      </c>
      <c r="D12" s="11">
        <v>65.099999999999994</v>
      </c>
      <c r="E12" s="11">
        <v>62.7</v>
      </c>
      <c r="F12" s="11">
        <v>63.5</v>
      </c>
      <c r="G12" s="11">
        <v>63.5</v>
      </c>
      <c r="H12" s="11">
        <v>66.900000000000006</v>
      </c>
      <c r="I12" s="11">
        <v>68.400000000000006</v>
      </c>
      <c r="J12" s="11">
        <v>68.5</v>
      </c>
      <c r="K12" s="11">
        <v>73.8</v>
      </c>
      <c r="L12" s="11">
        <v>77.2</v>
      </c>
      <c r="M12" s="11"/>
      <c r="N12" s="4" t="s">
        <v>14</v>
      </c>
      <c r="O12" s="12">
        <v>70700</v>
      </c>
      <c r="P12" s="12">
        <v>73790</v>
      </c>
      <c r="Q12" s="12">
        <v>74708</v>
      </c>
      <c r="R12" s="12">
        <v>70886</v>
      </c>
      <c r="S12" s="12">
        <v>71216</v>
      </c>
      <c r="T12" s="12">
        <v>70529</v>
      </c>
      <c r="U12" s="12">
        <v>73672</v>
      </c>
      <c r="V12" s="12">
        <v>74620</v>
      </c>
      <c r="W12" s="12">
        <v>73995</v>
      </c>
      <c r="X12" s="12">
        <v>78961</v>
      </c>
      <c r="Y12" s="12">
        <v>81738</v>
      </c>
      <c r="Z12" s="13"/>
      <c r="AA12" s="4" t="s">
        <v>14</v>
      </c>
      <c r="AB12" s="13">
        <v>144.5</v>
      </c>
      <c r="AC12" s="13">
        <v>141.6</v>
      </c>
      <c r="AD12" s="13">
        <v>136.80000000000001</v>
      </c>
      <c r="AE12" s="13">
        <v>132.69999999999999</v>
      </c>
      <c r="AF12" s="13">
        <v>141.4</v>
      </c>
      <c r="AG12" s="13">
        <v>135.9</v>
      </c>
      <c r="AH12" s="13">
        <v>136.1</v>
      </c>
      <c r="AI12" s="13">
        <v>130.30000000000001</v>
      </c>
      <c r="AJ12" s="13">
        <v>128.80000000000001</v>
      </c>
      <c r="AK12" s="13">
        <v>130.69999999999999</v>
      </c>
      <c r="AL12" s="13">
        <v>131.30000000000001</v>
      </c>
    </row>
    <row r="13" spans="1:38" ht="15.75" x14ac:dyDescent="0.25">
      <c r="A13" s="4" t="s">
        <v>15</v>
      </c>
      <c r="B13" s="11">
        <v>47.4</v>
      </c>
      <c r="C13" s="11">
        <v>50.3</v>
      </c>
      <c r="D13" s="11">
        <v>54.6</v>
      </c>
      <c r="E13" s="11">
        <v>55.3</v>
      </c>
      <c r="F13" s="11">
        <v>53.7</v>
      </c>
      <c r="G13" s="11">
        <v>56.4</v>
      </c>
      <c r="H13" s="11">
        <v>59.5</v>
      </c>
      <c r="I13" s="11">
        <v>63.3</v>
      </c>
      <c r="J13" s="11">
        <v>63.3</v>
      </c>
      <c r="K13" s="11">
        <v>67.400000000000006</v>
      </c>
      <c r="L13" s="11">
        <v>71.099999999999994</v>
      </c>
      <c r="M13" s="11"/>
      <c r="N13" s="4" t="s">
        <v>15</v>
      </c>
      <c r="O13" s="12">
        <v>83562</v>
      </c>
      <c r="P13" s="12">
        <v>88132</v>
      </c>
      <c r="Q13" s="12">
        <v>95068</v>
      </c>
      <c r="R13" s="12">
        <v>95304</v>
      </c>
      <c r="S13" s="12">
        <v>90701</v>
      </c>
      <c r="T13" s="12">
        <v>93197</v>
      </c>
      <c r="U13" s="12">
        <v>95973</v>
      </c>
      <c r="V13" s="12">
        <v>99566</v>
      </c>
      <c r="W13" s="12">
        <v>97553</v>
      </c>
      <c r="X13" s="12">
        <v>102306</v>
      </c>
      <c r="Y13" s="12">
        <v>106086</v>
      </c>
      <c r="Z13" s="13"/>
      <c r="AA13" s="4" t="s">
        <v>15</v>
      </c>
      <c r="AB13" s="13">
        <v>170.8</v>
      </c>
      <c r="AC13" s="13">
        <v>169.1</v>
      </c>
      <c r="AD13" s="13">
        <v>174</v>
      </c>
      <c r="AE13" s="13">
        <v>178.3</v>
      </c>
      <c r="AF13" s="13">
        <v>180.1</v>
      </c>
      <c r="AG13" s="13">
        <v>179.6</v>
      </c>
      <c r="AH13" s="13">
        <v>177.3</v>
      </c>
      <c r="AI13" s="13">
        <v>173.9</v>
      </c>
      <c r="AJ13" s="13">
        <v>169.8</v>
      </c>
      <c r="AK13" s="13">
        <v>169.4</v>
      </c>
      <c r="AL13" s="13">
        <v>170.4</v>
      </c>
    </row>
    <row r="14" spans="1:38" ht="15.75" x14ac:dyDescent="0.25">
      <c r="A14" s="14" t="s">
        <v>16</v>
      </c>
      <c r="B14" s="15">
        <v>862.6</v>
      </c>
      <c r="C14" s="15">
        <v>932.1</v>
      </c>
      <c r="D14" s="15">
        <v>972.8</v>
      </c>
      <c r="E14" s="15">
        <v>905.4</v>
      </c>
      <c r="F14" s="15">
        <v>833.5</v>
      </c>
      <c r="G14" s="15">
        <v>860.6</v>
      </c>
      <c r="H14" s="15">
        <v>889.8</v>
      </c>
      <c r="I14" s="15">
        <v>946.8</v>
      </c>
      <c r="J14" s="15">
        <v>946.8</v>
      </c>
      <c r="K14" s="15">
        <v>1021.5</v>
      </c>
      <c r="L14" s="15">
        <v>1092.3</v>
      </c>
      <c r="M14" s="11"/>
      <c r="N14" s="14" t="s">
        <v>16</v>
      </c>
      <c r="O14" s="16">
        <v>48346</v>
      </c>
      <c r="P14" s="16">
        <v>51310</v>
      </c>
      <c r="Q14" s="16">
        <v>52963</v>
      </c>
      <c r="R14" s="16">
        <v>48868</v>
      </c>
      <c r="S14" s="16">
        <v>44686</v>
      </c>
      <c r="T14" s="16">
        <v>45659</v>
      </c>
      <c r="U14" s="16">
        <v>46592</v>
      </c>
      <c r="V14" s="16">
        <v>48946</v>
      </c>
      <c r="W14" s="16">
        <v>48352</v>
      </c>
      <c r="X14" s="16">
        <v>51359</v>
      </c>
      <c r="Y14" s="16">
        <v>53955</v>
      </c>
      <c r="Z14" s="13"/>
      <c r="AA14" s="14" t="s">
        <v>16</v>
      </c>
      <c r="AB14" s="17">
        <v>98.8</v>
      </c>
      <c r="AC14" s="17">
        <v>98.5</v>
      </c>
      <c r="AD14" s="17">
        <v>97</v>
      </c>
      <c r="AE14" s="17">
        <v>91.4</v>
      </c>
      <c r="AF14" s="17">
        <v>88.7</v>
      </c>
      <c r="AG14" s="17">
        <v>88</v>
      </c>
      <c r="AH14" s="17">
        <v>86.1</v>
      </c>
      <c r="AI14" s="17">
        <v>85.5</v>
      </c>
      <c r="AJ14" s="17">
        <v>84.1</v>
      </c>
      <c r="AK14" s="17">
        <v>85</v>
      </c>
      <c r="AL14" s="17">
        <v>86.7</v>
      </c>
    </row>
    <row r="15" spans="1:38" ht="15.75" x14ac:dyDescent="0.25">
      <c r="A15" s="4" t="s">
        <v>17</v>
      </c>
      <c r="B15" s="11">
        <v>416.5</v>
      </c>
      <c r="C15" s="11">
        <v>440.7</v>
      </c>
      <c r="D15" s="11">
        <v>460.3</v>
      </c>
      <c r="E15" s="11">
        <v>442.5</v>
      </c>
      <c r="F15" s="11">
        <v>425.5</v>
      </c>
      <c r="G15" s="11">
        <v>433.7</v>
      </c>
      <c r="H15" s="11">
        <v>453.5</v>
      </c>
      <c r="I15" s="11">
        <v>475.5</v>
      </c>
      <c r="J15" s="11">
        <v>483.3</v>
      </c>
      <c r="K15" s="11">
        <v>515.9</v>
      </c>
      <c r="L15" s="11">
        <v>541.6</v>
      </c>
      <c r="M15" s="11"/>
      <c r="N15" s="4" t="s">
        <v>17</v>
      </c>
      <c r="O15" s="12">
        <v>46665</v>
      </c>
      <c r="P15" s="12">
        <v>48136</v>
      </c>
      <c r="Q15" s="12">
        <v>49230</v>
      </c>
      <c r="R15" s="12">
        <v>46555</v>
      </c>
      <c r="S15" s="12">
        <v>44228</v>
      </c>
      <c r="T15" s="12">
        <v>44646</v>
      </c>
      <c r="U15" s="12">
        <v>46226</v>
      </c>
      <c r="V15" s="12">
        <v>47958</v>
      </c>
      <c r="W15" s="12">
        <v>48401</v>
      </c>
      <c r="X15" s="12">
        <v>51145</v>
      </c>
      <c r="Y15" s="12">
        <v>53106</v>
      </c>
      <c r="Z15" s="13"/>
      <c r="AA15" s="4" t="s">
        <v>17</v>
      </c>
      <c r="AB15" s="13">
        <v>95.4</v>
      </c>
      <c r="AC15" s="13">
        <v>92.4</v>
      </c>
      <c r="AD15" s="13">
        <v>90.1</v>
      </c>
      <c r="AE15" s="13">
        <v>87.1</v>
      </c>
      <c r="AF15" s="13">
        <v>87.8</v>
      </c>
      <c r="AG15" s="13">
        <v>86</v>
      </c>
      <c r="AH15" s="13">
        <v>85.4</v>
      </c>
      <c r="AI15" s="13">
        <v>83.7</v>
      </c>
      <c r="AJ15" s="13">
        <v>84.2</v>
      </c>
      <c r="AK15" s="13">
        <v>84.7</v>
      </c>
      <c r="AL15" s="13">
        <v>85.3</v>
      </c>
    </row>
    <row r="16" spans="1:38" ht="15.75" x14ac:dyDescent="0.25">
      <c r="A16" s="4" t="s">
        <v>18</v>
      </c>
      <c r="B16" s="11">
        <v>62.7</v>
      </c>
      <c r="C16" s="11">
        <v>67.400000000000006</v>
      </c>
      <c r="D16" s="11">
        <v>71.099999999999994</v>
      </c>
      <c r="E16" s="11">
        <v>71.099999999999994</v>
      </c>
      <c r="F16" s="11">
        <v>68.400000000000006</v>
      </c>
      <c r="G16" s="11">
        <v>70.8</v>
      </c>
      <c r="H16" s="11">
        <v>72.7</v>
      </c>
      <c r="I16" s="11">
        <v>76.599999999999994</v>
      </c>
      <c r="J16" s="11">
        <v>77.5</v>
      </c>
      <c r="K16" s="11">
        <v>81.099999999999994</v>
      </c>
      <c r="L16" s="11">
        <v>85</v>
      </c>
      <c r="M16" s="11"/>
      <c r="N16" s="4" t="s">
        <v>18</v>
      </c>
      <c r="O16" s="12">
        <v>48528</v>
      </c>
      <c r="P16" s="12">
        <v>51444</v>
      </c>
      <c r="Q16" s="12">
        <v>54076</v>
      </c>
      <c r="R16" s="12">
        <v>53373</v>
      </c>
      <c r="S16" s="12">
        <v>50827</v>
      </c>
      <c r="T16" s="12">
        <v>51927</v>
      </c>
      <c r="U16" s="12">
        <v>52768</v>
      </c>
      <c r="V16" s="12">
        <v>55061</v>
      </c>
      <c r="W16" s="12">
        <v>55074</v>
      </c>
      <c r="X16" s="12">
        <v>57284</v>
      </c>
      <c r="Y16" s="12">
        <v>59664</v>
      </c>
      <c r="Z16" s="13"/>
      <c r="AA16" s="4" t="s">
        <v>18</v>
      </c>
      <c r="AB16" s="13">
        <v>99.2</v>
      </c>
      <c r="AC16" s="13">
        <v>98.7</v>
      </c>
      <c r="AD16" s="13">
        <v>99</v>
      </c>
      <c r="AE16" s="13">
        <v>99.9</v>
      </c>
      <c r="AF16" s="13">
        <v>100.9</v>
      </c>
      <c r="AG16" s="13">
        <v>100.1</v>
      </c>
      <c r="AH16" s="13">
        <v>97.5</v>
      </c>
      <c r="AI16" s="13">
        <v>96.1</v>
      </c>
      <c r="AJ16" s="13">
        <v>95.8</v>
      </c>
      <c r="AK16" s="13">
        <v>94.8</v>
      </c>
      <c r="AL16" s="13">
        <v>95.8</v>
      </c>
    </row>
    <row r="17" spans="1:38" ht="15.75" x14ac:dyDescent="0.25">
      <c r="A17" s="4" t="s">
        <v>19</v>
      </c>
      <c r="B17" s="11">
        <v>54.3</v>
      </c>
      <c r="C17" s="11">
        <v>60.2</v>
      </c>
      <c r="D17" s="11">
        <v>64</v>
      </c>
      <c r="E17" s="11">
        <v>63.6</v>
      </c>
      <c r="F17" s="11">
        <v>59.3</v>
      </c>
      <c r="G17" s="11">
        <v>60.5</v>
      </c>
      <c r="H17" s="11">
        <v>63.5</v>
      </c>
      <c r="I17" s="11">
        <v>67.3</v>
      </c>
      <c r="J17" s="11">
        <v>68.900000000000006</v>
      </c>
      <c r="K17" s="11">
        <v>72.7</v>
      </c>
      <c r="L17" s="11">
        <v>75.7</v>
      </c>
      <c r="M17" s="11"/>
      <c r="N17" s="4" t="s">
        <v>19</v>
      </c>
      <c r="O17" s="12">
        <v>38027</v>
      </c>
      <c r="P17" s="12">
        <v>40976</v>
      </c>
      <c r="Q17" s="12">
        <v>42529</v>
      </c>
      <c r="R17" s="12">
        <v>41425</v>
      </c>
      <c r="S17" s="12">
        <v>38153</v>
      </c>
      <c r="T17" s="12">
        <v>38520</v>
      </c>
      <c r="U17" s="12">
        <v>40110</v>
      </c>
      <c r="V17" s="12">
        <v>42196</v>
      </c>
      <c r="W17" s="12">
        <v>42754</v>
      </c>
      <c r="X17" s="12">
        <v>44519</v>
      </c>
      <c r="Y17" s="12">
        <v>45794</v>
      </c>
      <c r="Z17" s="13"/>
      <c r="AA17" s="4" t="s">
        <v>19</v>
      </c>
      <c r="AB17" s="13">
        <v>77.7</v>
      </c>
      <c r="AC17" s="13">
        <v>78.599999999999994</v>
      </c>
      <c r="AD17" s="13">
        <v>77.900000000000006</v>
      </c>
      <c r="AE17" s="13">
        <v>77.5</v>
      </c>
      <c r="AF17" s="13">
        <v>75.8</v>
      </c>
      <c r="AG17" s="13">
        <v>74.2</v>
      </c>
      <c r="AH17" s="13">
        <v>74.099999999999994</v>
      </c>
      <c r="AI17" s="13">
        <v>73.7</v>
      </c>
      <c r="AJ17" s="13">
        <v>74.400000000000006</v>
      </c>
      <c r="AK17" s="13">
        <v>73.7</v>
      </c>
      <c r="AL17" s="13">
        <v>73.599999999999994</v>
      </c>
    </row>
    <row r="18" spans="1:38" ht="15.75" x14ac:dyDescent="0.25">
      <c r="A18" s="4" t="s">
        <v>20</v>
      </c>
      <c r="B18" s="11">
        <v>649.29999999999995</v>
      </c>
      <c r="C18" s="11">
        <v>701.2</v>
      </c>
      <c r="D18" s="11">
        <v>741</v>
      </c>
      <c r="E18" s="11">
        <v>720.1</v>
      </c>
      <c r="F18" s="11">
        <v>688.1</v>
      </c>
      <c r="G18" s="11">
        <v>705.8</v>
      </c>
      <c r="H18" s="11">
        <v>741</v>
      </c>
      <c r="I18" s="11">
        <v>792.3</v>
      </c>
      <c r="J18" s="11">
        <v>789.5</v>
      </c>
      <c r="K18" s="11">
        <v>831.9</v>
      </c>
      <c r="L18" s="11">
        <v>861.7</v>
      </c>
      <c r="M18" s="11"/>
      <c r="N18" s="4" t="s">
        <v>20</v>
      </c>
      <c r="O18" s="12">
        <v>51493</v>
      </c>
      <c r="P18" s="12">
        <v>55456</v>
      </c>
      <c r="Q18" s="12">
        <v>58367</v>
      </c>
      <c r="R18" s="12">
        <v>56493</v>
      </c>
      <c r="S18" s="12">
        <v>53771</v>
      </c>
      <c r="T18" s="12">
        <v>54963</v>
      </c>
      <c r="U18" s="12">
        <v>57620</v>
      </c>
      <c r="V18" s="12">
        <v>61559</v>
      </c>
      <c r="W18" s="12">
        <v>61298</v>
      </c>
      <c r="X18" s="12">
        <v>64652</v>
      </c>
      <c r="Y18" s="12">
        <v>67118</v>
      </c>
      <c r="Z18" s="13"/>
      <c r="AA18" s="4" t="s">
        <v>20</v>
      </c>
      <c r="AB18" s="13">
        <v>105.2</v>
      </c>
      <c r="AC18" s="13">
        <v>106.4</v>
      </c>
      <c r="AD18" s="13">
        <v>106.9</v>
      </c>
      <c r="AE18" s="13">
        <v>105.7</v>
      </c>
      <c r="AF18" s="13">
        <v>106.8</v>
      </c>
      <c r="AG18" s="13">
        <v>105.9</v>
      </c>
      <c r="AH18" s="13">
        <v>106.5</v>
      </c>
      <c r="AI18" s="13">
        <v>107.5</v>
      </c>
      <c r="AJ18" s="13">
        <v>106.7</v>
      </c>
      <c r="AK18" s="13">
        <v>107</v>
      </c>
      <c r="AL18" s="13">
        <v>107.8</v>
      </c>
    </row>
    <row r="19" spans="1:38" ht="15.75" x14ac:dyDescent="0.25">
      <c r="A19" s="4" t="s">
        <v>21</v>
      </c>
      <c r="B19" s="11">
        <v>269.8</v>
      </c>
      <c r="C19" s="11">
        <v>286.2</v>
      </c>
      <c r="D19" s="11">
        <v>304.5</v>
      </c>
      <c r="E19" s="11">
        <v>301.7</v>
      </c>
      <c r="F19" s="11">
        <v>286.10000000000002</v>
      </c>
      <c r="G19" s="11">
        <v>306.3</v>
      </c>
      <c r="H19" s="11">
        <v>320</v>
      </c>
      <c r="I19" s="11">
        <v>333.5</v>
      </c>
      <c r="J19" s="11">
        <v>340.5</v>
      </c>
      <c r="K19" s="11">
        <v>358</v>
      </c>
      <c r="L19" s="11">
        <v>368.7</v>
      </c>
      <c r="M19" s="11"/>
      <c r="N19" s="4" t="s">
        <v>21</v>
      </c>
      <c r="O19" s="12">
        <v>42979</v>
      </c>
      <c r="P19" s="12">
        <v>45196</v>
      </c>
      <c r="Q19" s="12">
        <v>47738</v>
      </c>
      <c r="R19" s="12">
        <v>46963</v>
      </c>
      <c r="S19" s="12">
        <v>44285</v>
      </c>
      <c r="T19" s="12">
        <v>47184</v>
      </c>
      <c r="U19" s="12">
        <v>49101</v>
      </c>
      <c r="V19" s="12">
        <v>51008</v>
      </c>
      <c r="W19" s="12">
        <v>51839</v>
      </c>
      <c r="X19" s="12">
        <v>54278</v>
      </c>
      <c r="Y19" s="12">
        <v>55750</v>
      </c>
      <c r="Z19" s="13"/>
      <c r="AA19" s="4" t="s">
        <v>21</v>
      </c>
      <c r="AB19" s="13">
        <v>87.8</v>
      </c>
      <c r="AC19" s="13">
        <v>86.7</v>
      </c>
      <c r="AD19" s="13">
        <v>87.4</v>
      </c>
      <c r="AE19" s="13">
        <v>87.9</v>
      </c>
      <c r="AF19" s="13">
        <v>87.9</v>
      </c>
      <c r="AG19" s="13">
        <v>90.9</v>
      </c>
      <c r="AH19" s="13">
        <v>90.7</v>
      </c>
      <c r="AI19" s="13">
        <v>89.1</v>
      </c>
      <c r="AJ19" s="13">
        <v>90.2</v>
      </c>
      <c r="AK19" s="13">
        <v>89.8</v>
      </c>
      <c r="AL19" s="13">
        <v>89.5</v>
      </c>
    </row>
    <row r="20" spans="1:38" ht="15.75" x14ac:dyDescent="0.25">
      <c r="A20" s="4" t="s">
        <v>22</v>
      </c>
      <c r="B20" s="11">
        <v>135.4</v>
      </c>
      <c r="C20" s="11">
        <v>142.6</v>
      </c>
      <c r="D20" s="11">
        <v>155.1</v>
      </c>
      <c r="E20" s="11">
        <v>153.19999999999999</v>
      </c>
      <c r="F20" s="11">
        <v>149.30000000000001</v>
      </c>
      <c r="G20" s="11">
        <v>153.80000000000001</v>
      </c>
      <c r="H20" s="11">
        <v>163.5</v>
      </c>
      <c r="I20" s="11">
        <v>176.8</v>
      </c>
      <c r="J20" s="11">
        <v>177.5</v>
      </c>
      <c r="K20" s="11">
        <v>187.3</v>
      </c>
      <c r="L20" s="11">
        <v>193.7</v>
      </c>
      <c r="M20" s="11"/>
      <c r="N20" s="4" t="s">
        <v>22</v>
      </c>
      <c r="O20" s="12">
        <v>45677</v>
      </c>
      <c r="P20" s="12">
        <v>47810</v>
      </c>
      <c r="Q20" s="12">
        <v>51698</v>
      </c>
      <c r="R20" s="12">
        <v>50776</v>
      </c>
      <c r="S20" s="12">
        <v>49242</v>
      </c>
      <c r="T20" s="12">
        <v>50426</v>
      </c>
      <c r="U20" s="12">
        <v>53327</v>
      </c>
      <c r="V20" s="12">
        <v>57460</v>
      </c>
      <c r="W20" s="12">
        <v>57409</v>
      </c>
      <c r="X20" s="12">
        <v>60257</v>
      </c>
      <c r="Y20" s="12">
        <v>62028</v>
      </c>
      <c r="Z20" s="13"/>
      <c r="AA20" s="4" t="s">
        <v>22</v>
      </c>
      <c r="AB20" s="13">
        <v>93.4</v>
      </c>
      <c r="AC20" s="13">
        <v>91.8</v>
      </c>
      <c r="AD20" s="13">
        <v>94.6</v>
      </c>
      <c r="AE20" s="13">
        <v>95</v>
      </c>
      <c r="AF20" s="13">
        <v>97.8</v>
      </c>
      <c r="AG20" s="13">
        <v>97.2</v>
      </c>
      <c r="AH20" s="13">
        <v>98.5</v>
      </c>
      <c r="AI20" s="13">
        <v>100.3</v>
      </c>
      <c r="AJ20" s="13">
        <v>99.9</v>
      </c>
      <c r="AK20" s="13">
        <v>99.7</v>
      </c>
      <c r="AL20" s="13">
        <v>99.6</v>
      </c>
    </row>
    <row r="21" spans="1:38" ht="15.75" x14ac:dyDescent="0.25">
      <c r="A21" s="4" t="s">
        <v>23</v>
      </c>
      <c r="B21" s="11">
        <v>119.8</v>
      </c>
      <c r="C21" s="11">
        <v>132</v>
      </c>
      <c r="D21" s="11">
        <v>144.5</v>
      </c>
      <c r="E21" s="11">
        <v>149</v>
      </c>
      <c r="F21" s="11">
        <v>140.4</v>
      </c>
      <c r="G21" s="11">
        <v>145.1</v>
      </c>
      <c r="H21" s="11">
        <v>155.80000000000001</v>
      </c>
      <c r="I21" s="11">
        <v>164.1</v>
      </c>
      <c r="J21" s="11">
        <v>163.5</v>
      </c>
      <c r="K21" s="11">
        <v>171</v>
      </c>
      <c r="L21" s="11">
        <v>175.4</v>
      </c>
      <c r="M21" s="11"/>
      <c r="N21" s="4" t="s">
        <v>23</v>
      </c>
      <c r="O21" s="12">
        <v>43646</v>
      </c>
      <c r="P21" s="12">
        <v>47772</v>
      </c>
      <c r="Q21" s="12">
        <v>51891</v>
      </c>
      <c r="R21" s="12">
        <v>53064</v>
      </c>
      <c r="S21" s="12">
        <v>49549</v>
      </c>
      <c r="T21" s="12">
        <v>50755</v>
      </c>
      <c r="U21" s="12">
        <v>54312</v>
      </c>
      <c r="V21" s="12">
        <v>56864</v>
      </c>
      <c r="W21" s="12">
        <v>56518</v>
      </c>
      <c r="X21" s="12">
        <v>58987</v>
      </c>
      <c r="Y21" s="12">
        <v>60326</v>
      </c>
      <c r="Z21" s="13"/>
      <c r="AA21" s="4" t="s">
        <v>23</v>
      </c>
      <c r="AB21" s="13">
        <v>89.2</v>
      </c>
      <c r="AC21" s="13">
        <v>91.7</v>
      </c>
      <c r="AD21" s="13">
        <v>95</v>
      </c>
      <c r="AE21" s="13">
        <v>99.3</v>
      </c>
      <c r="AF21" s="13">
        <v>98.4</v>
      </c>
      <c r="AG21" s="13">
        <v>97.8</v>
      </c>
      <c r="AH21" s="13">
        <v>100.3</v>
      </c>
      <c r="AI21" s="13">
        <v>99.3</v>
      </c>
      <c r="AJ21" s="13">
        <v>98.4</v>
      </c>
      <c r="AK21" s="13">
        <v>97.6</v>
      </c>
      <c r="AL21" s="13">
        <v>96.9</v>
      </c>
    </row>
    <row r="22" spans="1:38" ht="15.75" x14ac:dyDescent="0.25">
      <c r="A22" s="4" t="s">
        <v>24</v>
      </c>
      <c r="B22" s="11">
        <v>157.80000000000001</v>
      </c>
      <c r="C22" s="11">
        <v>169.2</v>
      </c>
      <c r="D22" s="11">
        <v>175.1</v>
      </c>
      <c r="E22" s="11">
        <v>176.2</v>
      </c>
      <c r="F22" s="11">
        <v>169.6</v>
      </c>
      <c r="G22" s="11">
        <v>179.4</v>
      </c>
      <c r="H22" s="11">
        <v>187.2</v>
      </c>
      <c r="I22" s="11">
        <v>196.4</v>
      </c>
      <c r="J22" s="11">
        <v>197.3</v>
      </c>
      <c r="K22" s="11">
        <v>204.8</v>
      </c>
      <c r="L22" s="11">
        <v>211.8</v>
      </c>
      <c r="M22" s="11"/>
      <c r="N22" s="4" t="s">
        <v>24</v>
      </c>
      <c r="O22" s="12">
        <v>37725</v>
      </c>
      <c r="P22" s="12">
        <v>40106</v>
      </c>
      <c r="Q22" s="12">
        <v>41146</v>
      </c>
      <c r="R22" s="12">
        <v>41083</v>
      </c>
      <c r="S22" s="12">
        <v>39289</v>
      </c>
      <c r="T22" s="12">
        <v>41244</v>
      </c>
      <c r="U22" s="12">
        <v>42838</v>
      </c>
      <c r="V22" s="12">
        <v>44800</v>
      </c>
      <c r="W22" s="12">
        <v>44843</v>
      </c>
      <c r="X22" s="12">
        <v>46401</v>
      </c>
      <c r="Y22" s="12">
        <v>47863</v>
      </c>
      <c r="Z22" s="13"/>
      <c r="AA22" s="4" t="s">
        <v>24</v>
      </c>
      <c r="AB22" s="13">
        <v>77.099999999999994</v>
      </c>
      <c r="AC22" s="13">
        <v>77</v>
      </c>
      <c r="AD22" s="13">
        <v>75.3</v>
      </c>
      <c r="AE22" s="13">
        <v>76.900000000000006</v>
      </c>
      <c r="AF22" s="13">
        <v>78</v>
      </c>
      <c r="AG22" s="13">
        <v>79.5</v>
      </c>
      <c r="AH22" s="13">
        <v>79.099999999999994</v>
      </c>
      <c r="AI22" s="13">
        <v>78.2</v>
      </c>
      <c r="AJ22" s="13">
        <v>78</v>
      </c>
      <c r="AK22" s="13">
        <v>76.8</v>
      </c>
      <c r="AL22" s="13">
        <v>76.900000000000006</v>
      </c>
    </row>
    <row r="23" spans="1:38" ht="15.75" x14ac:dyDescent="0.25">
      <c r="A23" s="4" t="s">
        <v>25</v>
      </c>
      <c r="B23" s="11">
        <v>207.6</v>
      </c>
      <c r="C23" s="11">
        <v>220.6</v>
      </c>
      <c r="D23" s="11">
        <v>220</v>
      </c>
      <c r="E23" s="11">
        <v>229.7</v>
      </c>
      <c r="F23" s="11">
        <v>219.2</v>
      </c>
      <c r="G23" s="11">
        <v>240.1</v>
      </c>
      <c r="H23" s="11">
        <v>243.8</v>
      </c>
      <c r="I23" s="11">
        <v>254.7</v>
      </c>
      <c r="J23" s="11">
        <v>243.8</v>
      </c>
      <c r="K23" s="11">
        <v>255.9</v>
      </c>
      <c r="L23" s="11">
        <v>252.8</v>
      </c>
      <c r="M23" s="11"/>
      <c r="N23" s="4" t="s">
        <v>25</v>
      </c>
      <c r="O23" s="12">
        <v>45367</v>
      </c>
      <c r="P23" s="12">
        <v>51266</v>
      </c>
      <c r="Q23" s="12">
        <v>50280</v>
      </c>
      <c r="R23" s="12">
        <v>51787</v>
      </c>
      <c r="S23" s="12">
        <v>48801</v>
      </c>
      <c r="T23" s="12">
        <v>52826</v>
      </c>
      <c r="U23" s="12">
        <v>53290</v>
      </c>
      <c r="V23" s="12">
        <v>55332</v>
      </c>
      <c r="W23" s="12">
        <v>52703</v>
      </c>
      <c r="X23" s="12">
        <v>55065</v>
      </c>
      <c r="Y23" s="12">
        <v>54146</v>
      </c>
      <c r="Z23" s="13"/>
      <c r="AA23" s="4" t="s">
        <v>25</v>
      </c>
      <c r="AB23" s="13">
        <v>92.7</v>
      </c>
      <c r="AC23" s="13">
        <v>98.4</v>
      </c>
      <c r="AD23" s="13">
        <v>92</v>
      </c>
      <c r="AE23" s="13">
        <v>96.9</v>
      </c>
      <c r="AF23" s="13">
        <v>96.9</v>
      </c>
      <c r="AG23" s="13">
        <v>101.8</v>
      </c>
      <c r="AH23" s="13">
        <v>98.5</v>
      </c>
      <c r="AI23" s="13">
        <v>96.6</v>
      </c>
      <c r="AJ23" s="13">
        <v>91.7</v>
      </c>
      <c r="AK23" s="13">
        <v>91.2</v>
      </c>
      <c r="AL23" s="13">
        <v>87</v>
      </c>
    </row>
    <row r="24" spans="1:38" ht="15.75" x14ac:dyDescent="0.25">
      <c r="A24" s="14" t="s">
        <v>26</v>
      </c>
      <c r="B24" s="15">
        <v>52.1</v>
      </c>
      <c r="C24" s="15">
        <v>55.3</v>
      </c>
      <c r="D24" s="15">
        <v>57.3</v>
      </c>
      <c r="E24" s="15">
        <v>56</v>
      </c>
      <c r="F24" s="15">
        <v>55.3</v>
      </c>
      <c r="G24" s="15">
        <v>56.4</v>
      </c>
      <c r="H24" s="15">
        <v>57.3</v>
      </c>
      <c r="I24" s="15">
        <v>59.6</v>
      </c>
      <c r="J24" s="15">
        <v>59.4</v>
      </c>
      <c r="K24" s="15">
        <v>62.4</v>
      </c>
      <c r="L24" s="15">
        <v>64.599999999999994</v>
      </c>
      <c r="M24" s="11"/>
      <c r="N24" s="14" t="s">
        <v>26</v>
      </c>
      <c r="O24" s="16">
        <v>39517</v>
      </c>
      <c r="P24" s="16">
        <v>41794</v>
      </c>
      <c r="Q24" s="16">
        <v>43209</v>
      </c>
      <c r="R24" s="16">
        <v>42076</v>
      </c>
      <c r="S24" s="16">
        <v>41624</v>
      </c>
      <c r="T24" s="16">
        <v>42510</v>
      </c>
      <c r="U24" s="16">
        <v>43112</v>
      </c>
      <c r="V24" s="16">
        <v>44814</v>
      </c>
      <c r="W24" s="16">
        <v>44694</v>
      </c>
      <c r="X24" s="16">
        <v>46877</v>
      </c>
      <c r="Y24" s="16">
        <v>48557</v>
      </c>
      <c r="Z24" s="18"/>
      <c r="AA24" s="14" t="s">
        <v>26</v>
      </c>
      <c r="AB24" s="17">
        <v>80.8</v>
      </c>
      <c r="AC24" s="17">
        <v>80.2</v>
      </c>
      <c r="AD24" s="17">
        <v>79.099999999999994</v>
      </c>
      <c r="AE24" s="17">
        <v>78.7</v>
      </c>
      <c r="AF24" s="17">
        <v>82.6</v>
      </c>
      <c r="AG24" s="17">
        <v>81.900000000000006</v>
      </c>
      <c r="AH24" s="17">
        <v>79.599999999999994</v>
      </c>
      <c r="AI24" s="17">
        <v>78.3</v>
      </c>
      <c r="AJ24" s="17">
        <v>77.8</v>
      </c>
      <c r="AK24" s="17">
        <v>77.599999999999994</v>
      </c>
      <c r="AL24" s="17">
        <v>78</v>
      </c>
    </row>
    <row r="25" spans="1:38" ht="15.75" x14ac:dyDescent="0.25">
      <c r="A25" s="4" t="s">
        <v>27</v>
      </c>
      <c r="B25" s="11">
        <v>321.8</v>
      </c>
      <c r="C25" s="11">
        <v>343.2</v>
      </c>
      <c r="D25" s="11">
        <v>359.7</v>
      </c>
      <c r="E25" s="11">
        <v>355.1</v>
      </c>
      <c r="F25" s="11">
        <v>353.9</v>
      </c>
      <c r="G25" s="11">
        <v>367.5</v>
      </c>
      <c r="H25" s="11">
        <v>385.2</v>
      </c>
      <c r="I25" s="11">
        <v>399.4</v>
      </c>
      <c r="J25" s="11">
        <v>399.9</v>
      </c>
      <c r="K25" s="11">
        <v>417.6</v>
      </c>
      <c r="L25" s="11">
        <v>436.1</v>
      </c>
      <c r="M25" s="11"/>
      <c r="N25" s="4" t="s">
        <v>27</v>
      </c>
      <c r="O25" s="12">
        <v>57535</v>
      </c>
      <c r="P25" s="12">
        <v>60989</v>
      </c>
      <c r="Q25" s="12">
        <v>63620</v>
      </c>
      <c r="R25" s="12">
        <v>62468</v>
      </c>
      <c r="S25" s="12">
        <v>61758</v>
      </c>
      <c r="T25" s="12">
        <v>63495</v>
      </c>
      <c r="U25" s="12">
        <v>65922</v>
      </c>
      <c r="V25" s="12">
        <v>67816</v>
      </c>
      <c r="W25" s="12">
        <v>67427</v>
      </c>
      <c r="X25" s="12">
        <v>69977</v>
      </c>
      <c r="Y25" s="12">
        <v>72743</v>
      </c>
      <c r="Z25" s="13"/>
      <c r="AA25" s="4" t="s">
        <v>27</v>
      </c>
      <c r="AB25" s="13">
        <v>117.6</v>
      </c>
      <c r="AC25" s="13">
        <v>117.1</v>
      </c>
      <c r="AD25" s="13">
        <v>116.5</v>
      </c>
      <c r="AE25" s="13">
        <v>116.9</v>
      </c>
      <c r="AF25" s="13">
        <v>122.6</v>
      </c>
      <c r="AG25" s="13">
        <v>122.3</v>
      </c>
      <c r="AH25" s="13">
        <v>121.8</v>
      </c>
      <c r="AI25" s="13">
        <v>118.4</v>
      </c>
      <c r="AJ25" s="13">
        <v>117.3</v>
      </c>
      <c r="AK25" s="13">
        <v>115.8</v>
      </c>
      <c r="AL25" s="13">
        <v>116.8</v>
      </c>
    </row>
    <row r="26" spans="1:38" ht="15.75" x14ac:dyDescent="0.25">
      <c r="A26" s="4" t="s">
        <v>28</v>
      </c>
      <c r="B26" s="11">
        <v>386.9</v>
      </c>
      <c r="C26" s="11">
        <v>414</v>
      </c>
      <c r="D26" s="11">
        <v>440.2</v>
      </c>
      <c r="E26" s="11">
        <v>428.6</v>
      </c>
      <c r="F26" s="11">
        <v>415.2</v>
      </c>
      <c r="G26" s="11">
        <v>437.3</v>
      </c>
      <c r="H26" s="11">
        <v>459.7</v>
      </c>
      <c r="I26" s="11">
        <v>490.3</v>
      </c>
      <c r="J26" s="11">
        <v>490.6</v>
      </c>
      <c r="K26" s="11">
        <v>520.29999999999995</v>
      </c>
      <c r="L26" s="11">
        <v>549.4</v>
      </c>
      <c r="M26" s="11"/>
      <c r="N26" s="4" t="s">
        <v>28</v>
      </c>
      <c r="O26" s="12">
        <v>60424</v>
      </c>
      <c r="P26" s="12">
        <v>64582</v>
      </c>
      <c r="Q26" s="12">
        <v>68447</v>
      </c>
      <c r="R26" s="12">
        <v>66262</v>
      </c>
      <c r="S26" s="12">
        <v>63709</v>
      </c>
      <c r="T26" s="12">
        <v>66610</v>
      </c>
      <c r="U26" s="12">
        <v>69522</v>
      </c>
      <c r="V26" s="12">
        <v>73633</v>
      </c>
      <c r="W26" s="12">
        <v>73143</v>
      </c>
      <c r="X26" s="12">
        <v>77079</v>
      </c>
      <c r="Y26" s="12">
        <v>80989</v>
      </c>
      <c r="Z26" s="13"/>
      <c r="AA26" s="4" t="s">
        <v>28</v>
      </c>
      <c r="AB26" s="13">
        <v>123.5</v>
      </c>
      <c r="AC26" s="13">
        <v>123.9</v>
      </c>
      <c r="AD26" s="13">
        <v>125.3</v>
      </c>
      <c r="AE26" s="13">
        <v>124</v>
      </c>
      <c r="AF26" s="13">
        <v>126.5</v>
      </c>
      <c r="AG26" s="13">
        <v>128.30000000000001</v>
      </c>
      <c r="AH26" s="13">
        <v>128.4</v>
      </c>
      <c r="AI26" s="13">
        <v>128.6</v>
      </c>
      <c r="AJ26" s="13">
        <v>127.3</v>
      </c>
      <c r="AK26" s="13">
        <v>127.6</v>
      </c>
      <c r="AL26" s="13">
        <v>130.1</v>
      </c>
    </row>
    <row r="27" spans="1:38" ht="15.75" x14ac:dyDescent="0.25">
      <c r="A27" s="4" t="s">
        <v>29</v>
      </c>
      <c r="B27" s="11">
        <v>427</v>
      </c>
      <c r="C27" s="11">
        <v>433.1</v>
      </c>
      <c r="D27" s="11">
        <v>446.5</v>
      </c>
      <c r="E27" s="11">
        <v>420</v>
      </c>
      <c r="F27" s="11">
        <v>390.1</v>
      </c>
      <c r="G27" s="11">
        <v>412.6</v>
      </c>
      <c r="H27" s="11">
        <v>435.4</v>
      </c>
      <c r="I27" s="11">
        <v>462</v>
      </c>
      <c r="J27" s="11">
        <v>471.4</v>
      </c>
      <c r="K27" s="11">
        <v>495.2</v>
      </c>
      <c r="L27" s="11">
        <v>522.29999999999995</v>
      </c>
      <c r="M27" s="11"/>
      <c r="N27" s="4" t="s">
        <v>29</v>
      </c>
      <c r="O27" s="12">
        <v>42480</v>
      </c>
      <c r="P27" s="12">
        <v>43150</v>
      </c>
      <c r="Q27" s="12">
        <v>44647</v>
      </c>
      <c r="R27" s="12">
        <v>42220</v>
      </c>
      <c r="S27" s="12">
        <v>39401</v>
      </c>
      <c r="T27" s="12">
        <v>41774</v>
      </c>
      <c r="U27" s="12">
        <v>44082</v>
      </c>
      <c r="V27" s="12">
        <v>46728</v>
      </c>
      <c r="W27" s="12">
        <v>47621</v>
      </c>
      <c r="X27" s="12">
        <v>49939</v>
      </c>
      <c r="Y27" s="12">
        <v>52665</v>
      </c>
      <c r="Z27" s="13"/>
      <c r="AA27" s="4" t="s">
        <v>29</v>
      </c>
      <c r="AB27" s="13">
        <v>86.8</v>
      </c>
      <c r="AC27" s="13">
        <v>82.8</v>
      </c>
      <c r="AD27" s="13">
        <v>81.7</v>
      </c>
      <c r="AE27" s="13">
        <v>79</v>
      </c>
      <c r="AF27" s="13">
        <v>78.2</v>
      </c>
      <c r="AG27" s="13">
        <v>80.5</v>
      </c>
      <c r="AH27" s="13">
        <v>81.400000000000006</v>
      </c>
      <c r="AI27" s="13">
        <v>81.599999999999994</v>
      </c>
      <c r="AJ27" s="13">
        <v>82.9</v>
      </c>
      <c r="AK27" s="13">
        <v>82.7</v>
      </c>
      <c r="AL27" s="13">
        <v>84.6</v>
      </c>
    </row>
    <row r="28" spans="1:38" ht="15.75" x14ac:dyDescent="0.25">
      <c r="A28" s="4" t="s">
        <v>30</v>
      </c>
      <c r="B28" s="11">
        <v>263.7</v>
      </c>
      <c r="C28" s="11">
        <v>274.89999999999998</v>
      </c>
      <c r="D28" s="11">
        <v>288.39999999999998</v>
      </c>
      <c r="E28" s="11">
        <v>287.10000000000002</v>
      </c>
      <c r="F28" s="11">
        <v>273.3</v>
      </c>
      <c r="G28" s="11">
        <v>286.89999999999998</v>
      </c>
      <c r="H28" s="11">
        <v>303.3</v>
      </c>
      <c r="I28" s="11">
        <v>322.39999999999998</v>
      </c>
      <c r="J28" s="11">
        <v>326.60000000000002</v>
      </c>
      <c r="K28" s="11">
        <v>346</v>
      </c>
      <c r="L28" s="11">
        <v>357.5</v>
      </c>
      <c r="M28" s="11"/>
      <c r="N28" s="4" t="s">
        <v>30</v>
      </c>
      <c r="O28" s="12">
        <v>51517</v>
      </c>
      <c r="P28" s="12">
        <v>53241</v>
      </c>
      <c r="Q28" s="12">
        <v>55387</v>
      </c>
      <c r="R28" s="12">
        <v>54724</v>
      </c>
      <c r="S28" s="12">
        <v>51743</v>
      </c>
      <c r="T28" s="12">
        <v>54011</v>
      </c>
      <c r="U28" s="12">
        <v>56699</v>
      </c>
      <c r="V28" s="12">
        <v>59916</v>
      </c>
      <c r="W28" s="12">
        <v>60277</v>
      </c>
      <c r="X28" s="12">
        <v>63457</v>
      </c>
      <c r="Y28" s="12">
        <v>65212</v>
      </c>
      <c r="Z28" s="13"/>
      <c r="AA28" s="4" t="s">
        <v>30</v>
      </c>
      <c r="AB28" s="13">
        <v>105.3</v>
      </c>
      <c r="AC28" s="13">
        <v>102.2</v>
      </c>
      <c r="AD28" s="13">
        <v>101.4</v>
      </c>
      <c r="AE28" s="13">
        <v>102.4</v>
      </c>
      <c r="AF28" s="13">
        <v>102.7</v>
      </c>
      <c r="AG28" s="13">
        <v>104.1</v>
      </c>
      <c r="AH28" s="13">
        <v>104.7</v>
      </c>
      <c r="AI28" s="13">
        <v>104.6</v>
      </c>
      <c r="AJ28" s="13">
        <v>104.9</v>
      </c>
      <c r="AK28" s="13">
        <v>105</v>
      </c>
      <c r="AL28" s="13">
        <v>104.7</v>
      </c>
    </row>
    <row r="29" spans="1:38" ht="15.75" x14ac:dyDescent="0.25">
      <c r="A29" s="4" t="s">
        <v>31</v>
      </c>
      <c r="B29" s="11">
        <v>91.5</v>
      </c>
      <c r="C29" s="11">
        <v>98.6</v>
      </c>
      <c r="D29" s="11">
        <v>104.8</v>
      </c>
      <c r="E29" s="11">
        <v>110.1</v>
      </c>
      <c r="F29" s="11">
        <v>104.4</v>
      </c>
      <c r="G29" s="11">
        <v>106.4</v>
      </c>
      <c r="H29" s="11">
        <v>108.9</v>
      </c>
      <c r="I29" s="11">
        <v>115.4</v>
      </c>
      <c r="J29" s="11">
        <v>115.8</v>
      </c>
      <c r="K29" s="11">
        <v>118.3</v>
      </c>
      <c r="L29" s="11">
        <v>119.8</v>
      </c>
      <c r="M29" s="11"/>
      <c r="N29" s="4" t="s">
        <v>31</v>
      </c>
      <c r="O29" s="12">
        <v>31472</v>
      </c>
      <c r="P29" s="12">
        <v>33943</v>
      </c>
      <c r="Q29" s="12">
        <v>35794</v>
      </c>
      <c r="R29" s="12">
        <v>37342</v>
      </c>
      <c r="S29" s="12">
        <v>35281</v>
      </c>
      <c r="T29" s="12">
        <v>35807</v>
      </c>
      <c r="U29" s="12">
        <v>36574</v>
      </c>
      <c r="V29" s="12">
        <v>38658</v>
      </c>
      <c r="W29" s="12">
        <v>38714</v>
      </c>
      <c r="X29" s="12">
        <v>39521</v>
      </c>
      <c r="Y29" s="12">
        <v>40076</v>
      </c>
      <c r="Z29" s="13"/>
      <c r="AA29" s="4" t="s">
        <v>31</v>
      </c>
      <c r="AB29" s="13">
        <v>64.3</v>
      </c>
      <c r="AC29" s="13">
        <v>65.099999999999994</v>
      </c>
      <c r="AD29" s="13">
        <v>65.5</v>
      </c>
      <c r="AE29" s="13">
        <v>69.900000000000006</v>
      </c>
      <c r="AF29" s="13">
        <v>70</v>
      </c>
      <c r="AG29" s="13">
        <v>69</v>
      </c>
      <c r="AH29" s="13">
        <v>67.599999999999994</v>
      </c>
      <c r="AI29" s="13">
        <v>67.5</v>
      </c>
      <c r="AJ29" s="13">
        <v>67.400000000000006</v>
      </c>
      <c r="AK29" s="13">
        <v>65.400000000000006</v>
      </c>
      <c r="AL29" s="13">
        <v>64.400000000000006</v>
      </c>
    </row>
    <row r="30" spans="1:38" ht="15.75" x14ac:dyDescent="0.25">
      <c r="A30" s="4" t="s">
        <v>32</v>
      </c>
      <c r="B30" s="11">
        <v>248.6</v>
      </c>
      <c r="C30" s="11">
        <v>262.60000000000002</v>
      </c>
      <c r="D30" s="11">
        <v>275.5</v>
      </c>
      <c r="E30" s="11">
        <v>280.89999999999998</v>
      </c>
      <c r="F30" s="11">
        <v>272.8</v>
      </c>
      <c r="G30" s="11">
        <v>279.60000000000002</v>
      </c>
      <c r="H30" s="11">
        <v>285.3</v>
      </c>
      <c r="I30" s="11">
        <v>301.60000000000002</v>
      </c>
      <c r="J30" s="11">
        <v>305.60000000000002</v>
      </c>
      <c r="K30" s="11">
        <v>317.8</v>
      </c>
      <c r="L30" s="11">
        <v>329.5</v>
      </c>
      <c r="M30" s="11"/>
      <c r="N30" s="4" t="s">
        <v>32</v>
      </c>
      <c r="O30" s="12">
        <v>42939</v>
      </c>
      <c r="P30" s="12">
        <v>44937</v>
      </c>
      <c r="Q30" s="12">
        <v>46791</v>
      </c>
      <c r="R30" s="12">
        <v>47419</v>
      </c>
      <c r="S30" s="12">
        <v>45766</v>
      </c>
      <c r="T30" s="12">
        <v>46625</v>
      </c>
      <c r="U30" s="12">
        <v>47470</v>
      </c>
      <c r="V30" s="12">
        <v>50055</v>
      </c>
      <c r="W30" s="12">
        <v>50579</v>
      </c>
      <c r="X30" s="12">
        <v>52442</v>
      </c>
      <c r="Y30" s="12">
        <v>54233</v>
      </c>
      <c r="Z30" s="13"/>
      <c r="AA30" s="4" t="s">
        <v>32</v>
      </c>
      <c r="AB30" s="13">
        <v>87.8</v>
      </c>
      <c r="AC30" s="13">
        <v>86.2</v>
      </c>
      <c r="AD30" s="13">
        <v>85.7</v>
      </c>
      <c r="AE30" s="13">
        <v>88.7</v>
      </c>
      <c r="AF30" s="13">
        <v>90.9</v>
      </c>
      <c r="AG30" s="13">
        <v>89.8</v>
      </c>
      <c r="AH30" s="13">
        <v>87.7</v>
      </c>
      <c r="AI30" s="13">
        <v>87.4</v>
      </c>
      <c r="AJ30" s="13">
        <v>88</v>
      </c>
      <c r="AK30" s="13">
        <v>86.8</v>
      </c>
      <c r="AL30" s="13">
        <v>87.1</v>
      </c>
    </row>
    <row r="31" spans="1:38" ht="15.75" x14ac:dyDescent="0.25">
      <c r="A31" s="4" t="s">
        <v>33</v>
      </c>
      <c r="B31" s="11">
        <v>34.9</v>
      </c>
      <c r="C31" s="11">
        <v>38.4</v>
      </c>
      <c r="D31" s="11">
        <v>42.3</v>
      </c>
      <c r="E31" s="11">
        <v>42.4</v>
      </c>
      <c r="F31" s="11">
        <v>40.1</v>
      </c>
      <c r="G31" s="11">
        <v>42.1</v>
      </c>
      <c r="H31" s="11">
        <v>45.7</v>
      </c>
      <c r="I31" s="11">
        <v>48.7</v>
      </c>
      <c r="J31" s="11">
        <v>48.2</v>
      </c>
      <c r="K31" s="11">
        <v>51.1</v>
      </c>
      <c r="L31" s="11">
        <v>52.2</v>
      </c>
      <c r="M31" s="11"/>
      <c r="N31" s="4" t="s">
        <v>33</v>
      </c>
      <c r="O31" s="12">
        <v>37133</v>
      </c>
      <c r="P31" s="12">
        <v>40318</v>
      </c>
      <c r="Q31" s="12">
        <v>43819</v>
      </c>
      <c r="R31" s="12">
        <v>43415</v>
      </c>
      <c r="S31" s="12">
        <v>40726</v>
      </c>
      <c r="T31" s="12">
        <v>42532</v>
      </c>
      <c r="U31" s="12">
        <v>45816</v>
      </c>
      <c r="V31" s="12">
        <v>48421</v>
      </c>
      <c r="W31" s="12">
        <v>47504</v>
      </c>
      <c r="X31" s="12">
        <v>49986</v>
      </c>
      <c r="Y31" s="12">
        <v>50542</v>
      </c>
      <c r="Z31" s="13"/>
      <c r="AA31" s="4" t="s">
        <v>33</v>
      </c>
      <c r="AB31" s="13">
        <v>75.900000000000006</v>
      </c>
      <c r="AC31" s="13">
        <v>77.400000000000006</v>
      </c>
      <c r="AD31" s="13">
        <v>80.2</v>
      </c>
      <c r="AE31" s="13">
        <v>81.2</v>
      </c>
      <c r="AF31" s="13">
        <v>80.900000000000006</v>
      </c>
      <c r="AG31" s="13">
        <v>81.900000000000006</v>
      </c>
      <c r="AH31" s="13">
        <v>84.6</v>
      </c>
      <c r="AI31" s="13">
        <v>84.6</v>
      </c>
      <c r="AJ31" s="13">
        <v>82.7</v>
      </c>
      <c r="AK31" s="13">
        <v>82.7</v>
      </c>
      <c r="AL31" s="13">
        <v>81.2</v>
      </c>
    </row>
    <row r="32" spans="1:38" ht="15.75" x14ac:dyDescent="0.25">
      <c r="A32" s="4" t="s">
        <v>34</v>
      </c>
      <c r="B32" s="11">
        <v>80.599999999999994</v>
      </c>
      <c r="C32" s="11">
        <v>86.3</v>
      </c>
      <c r="D32" s="11">
        <v>93.2</v>
      </c>
      <c r="E32" s="11">
        <v>94.2</v>
      </c>
      <c r="F32" s="11">
        <v>93.5</v>
      </c>
      <c r="G32" s="11">
        <v>99.5</v>
      </c>
      <c r="H32" s="11">
        <v>108</v>
      </c>
      <c r="I32" s="11">
        <v>113.6</v>
      </c>
      <c r="J32" s="11">
        <v>115.2</v>
      </c>
      <c r="K32" s="11">
        <v>123.1</v>
      </c>
      <c r="L32" s="11">
        <v>124.2</v>
      </c>
      <c r="M32" s="11"/>
      <c r="N32" s="4" t="s">
        <v>34</v>
      </c>
      <c r="O32" s="12">
        <v>45771</v>
      </c>
      <c r="P32" s="12">
        <v>48674</v>
      </c>
      <c r="Q32" s="12">
        <v>52265</v>
      </c>
      <c r="R32" s="12">
        <v>52436</v>
      </c>
      <c r="S32" s="12">
        <v>51575</v>
      </c>
      <c r="T32" s="12">
        <v>54396</v>
      </c>
      <c r="U32" s="12">
        <v>58635</v>
      </c>
      <c r="V32" s="12">
        <v>61203</v>
      </c>
      <c r="W32" s="12">
        <v>61658</v>
      </c>
      <c r="X32" s="12">
        <v>65447</v>
      </c>
      <c r="Y32" s="12">
        <v>65580</v>
      </c>
      <c r="Z32" s="13"/>
      <c r="AA32" s="4" t="s">
        <v>34</v>
      </c>
      <c r="AB32" s="13">
        <v>93.6</v>
      </c>
      <c r="AC32" s="13">
        <v>93.4</v>
      </c>
      <c r="AD32" s="13">
        <v>95.7</v>
      </c>
      <c r="AE32" s="13">
        <v>98.1</v>
      </c>
      <c r="AF32" s="13">
        <v>102.4</v>
      </c>
      <c r="AG32" s="13">
        <v>104.8</v>
      </c>
      <c r="AH32" s="13">
        <v>108.3</v>
      </c>
      <c r="AI32" s="13">
        <v>106.9</v>
      </c>
      <c r="AJ32" s="13">
        <v>107.3</v>
      </c>
      <c r="AK32" s="13">
        <v>108.3</v>
      </c>
      <c r="AL32" s="13">
        <v>105.3</v>
      </c>
    </row>
    <row r="33" spans="1:38" ht="15.75" x14ac:dyDescent="0.25">
      <c r="A33" s="4" t="s">
        <v>35</v>
      </c>
      <c r="B33" s="11">
        <v>139.5</v>
      </c>
      <c r="C33" s="11">
        <v>150.30000000000001</v>
      </c>
      <c r="D33" s="11">
        <v>155.1</v>
      </c>
      <c r="E33" s="11">
        <v>144.1</v>
      </c>
      <c r="F33" s="11">
        <v>130.69999999999999</v>
      </c>
      <c r="G33" s="11">
        <v>134</v>
      </c>
      <c r="H33" s="11">
        <v>137.5</v>
      </c>
      <c r="I33" s="11">
        <v>145.30000000000001</v>
      </c>
      <c r="J33" s="11">
        <v>146.19999999999999</v>
      </c>
      <c r="K33" s="11">
        <v>151.4</v>
      </c>
      <c r="L33" s="11">
        <v>161.5</v>
      </c>
      <c r="M33" s="11"/>
      <c r="N33" s="4" t="s">
        <v>35</v>
      </c>
      <c r="O33" s="12">
        <v>57368</v>
      </c>
      <c r="P33" s="12">
        <v>59599</v>
      </c>
      <c r="Q33" s="12">
        <v>59627</v>
      </c>
      <c r="R33" s="12">
        <v>54321</v>
      </c>
      <c r="S33" s="12">
        <v>48685</v>
      </c>
      <c r="T33" s="12">
        <v>49553</v>
      </c>
      <c r="U33" s="12">
        <v>50594</v>
      </c>
      <c r="V33" s="12">
        <v>52769</v>
      </c>
      <c r="W33" s="12">
        <v>52476</v>
      </c>
      <c r="X33" s="12">
        <v>53438</v>
      </c>
      <c r="Y33" s="12">
        <v>56020</v>
      </c>
      <c r="Z33" s="13"/>
      <c r="AA33" s="4" t="s">
        <v>35</v>
      </c>
      <c r="AB33" s="13">
        <v>117.3</v>
      </c>
      <c r="AC33" s="13">
        <v>114.4</v>
      </c>
      <c r="AD33" s="13">
        <v>109.2</v>
      </c>
      <c r="AE33" s="13">
        <v>101.7</v>
      </c>
      <c r="AF33" s="13">
        <v>96.7</v>
      </c>
      <c r="AG33" s="13">
        <v>95.5</v>
      </c>
      <c r="AH33" s="13">
        <v>93.5</v>
      </c>
      <c r="AI33" s="13">
        <v>92.1</v>
      </c>
      <c r="AJ33" s="13">
        <v>91.3</v>
      </c>
      <c r="AK33" s="13">
        <v>88.5</v>
      </c>
      <c r="AL33" s="13">
        <v>90</v>
      </c>
    </row>
    <row r="34" spans="1:38" ht="15.75" x14ac:dyDescent="0.25">
      <c r="A34" s="14" t="s">
        <v>36</v>
      </c>
      <c r="B34" s="15">
        <v>70</v>
      </c>
      <c r="C34" s="15">
        <v>74.599999999999994</v>
      </c>
      <c r="D34" s="15">
        <v>77.8</v>
      </c>
      <c r="E34" s="15">
        <v>75.599999999999994</v>
      </c>
      <c r="F34" s="15">
        <v>73.7</v>
      </c>
      <c r="G34" s="15">
        <v>76.5</v>
      </c>
      <c r="H34" s="15">
        <v>79.400000000000006</v>
      </c>
      <c r="I34" s="15">
        <v>83.8</v>
      </c>
      <c r="J34" s="15">
        <v>84.2</v>
      </c>
      <c r="K34" s="15">
        <v>87.4</v>
      </c>
      <c r="L34" s="15">
        <v>91.2</v>
      </c>
      <c r="M34" s="11"/>
      <c r="N34" s="19" t="s">
        <v>36</v>
      </c>
      <c r="O34" s="16">
        <v>53882</v>
      </c>
      <c r="P34" s="16">
        <v>57009</v>
      </c>
      <c r="Q34" s="16">
        <v>59288</v>
      </c>
      <c r="R34" s="16">
        <v>57475</v>
      </c>
      <c r="S34" s="16">
        <v>55994</v>
      </c>
      <c r="T34" s="16">
        <v>58070</v>
      </c>
      <c r="U34" s="16">
        <v>60209</v>
      </c>
      <c r="V34" s="16">
        <v>63398</v>
      </c>
      <c r="W34" s="16">
        <v>63655</v>
      </c>
      <c r="X34" s="16">
        <v>65768</v>
      </c>
      <c r="Y34" s="16">
        <v>68596</v>
      </c>
      <c r="Z34" s="13"/>
      <c r="AA34" s="19" t="s">
        <v>36</v>
      </c>
      <c r="AB34" s="17">
        <v>110.1</v>
      </c>
      <c r="AC34" s="17">
        <v>109.4</v>
      </c>
      <c r="AD34" s="17">
        <v>108.5</v>
      </c>
      <c r="AE34" s="17">
        <v>107.6</v>
      </c>
      <c r="AF34" s="17">
        <v>111.2</v>
      </c>
      <c r="AG34" s="17">
        <v>111.9</v>
      </c>
      <c r="AH34" s="17">
        <v>111.2</v>
      </c>
      <c r="AI34" s="17">
        <v>110.7</v>
      </c>
      <c r="AJ34" s="17">
        <v>110.8</v>
      </c>
      <c r="AK34" s="17">
        <v>108.9</v>
      </c>
      <c r="AL34" s="17">
        <v>110.2</v>
      </c>
    </row>
    <row r="35" spans="1:38" ht="15.75" x14ac:dyDescent="0.25">
      <c r="A35" s="4" t="s">
        <v>37</v>
      </c>
      <c r="B35" s="11">
        <v>533.29999999999995</v>
      </c>
      <c r="C35" s="11">
        <v>568.79999999999995</v>
      </c>
      <c r="D35" s="11">
        <v>599.6</v>
      </c>
      <c r="E35" s="11">
        <v>596.79999999999995</v>
      </c>
      <c r="F35" s="11">
        <v>564.4</v>
      </c>
      <c r="G35" s="11">
        <v>576.20000000000005</v>
      </c>
      <c r="H35" s="11">
        <v>593</v>
      </c>
      <c r="I35" s="11">
        <v>628.79999999999995</v>
      </c>
      <c r="J35" s="11">
        <v>635.70000000000005</v>
      </c>
      <c r="K35" s="11">
        <v>659.8</v>
      </c>
      <c r="L35" s="11">
        <v>686.2</v>
      </c>
      <c r="M35" s="11"/>
      <c r="N35" s="4" t="s">
        <v>37</v>
      </c>
      <c r="O35" s="12">
        <v>61636</v>
      </c>
      <c r="P35" s="12">
        <v>65669</v>
      </c>
      <c r="Q35" s="12">
        <v>69096</v>
      </c>
      <c r="R35" s="12">
        <v>68513</v>
      </c>
      <c r="S35" s="12">
        <v>64462</v>
      </c>
      <c r="T35" s="12">
        <v>65446</v>
      </c>
      <c r="U35" s="12">
        <v>67068</v>
      </c>
      <c r="V35" s="12">
        <v>70865</v>
      </c>
      <c r="W35" s="12">
        <v>71430</v>
      </c>
      <c r="X35" s="12">
        <v>73926</v>
      </c>
      <c r="Y35" s="12">
        <v>76799</v>
      </c>
      <c r="Z35" s="13"/>
      <c r="AA35" s="4" t="s">
        <v>37</v>
      </c>
      <c r="AB35" s="13">
        <v>126</v>
      </c>
      <c r="AC35" s="13">
        <v>126</v>
      </c>
      <c r="AD35" s="13">
        <v>126.5</v>
      </c>
      <c r="AE35" s="13">
        <v>128.19999999999999</v>
      </c>
      <c r="AF35" s="13">
        <v>128</v>
      </c>
      <c r="AG35" s="13">
        <v>126.1</v>
      </c>
      <c r="AH35" s="13">
        <v>123.9</v>
      </c>
      <c r="AI35" s="13">
        <v>123.7</v>
      </c>
      <c r="AJ35" s="13">
        <v>124.3</v>
      </c>
      <c r="AK35" s="13">
        <v>122.4</v>
      </c>
      <c r="AL35" s="13">
        <v>123.3</v>
      </c>
    </row>
    <row r="36" spans="1:38" ht="15.75" x14ac:dyDescent="0.25">
      <c r="A36" s="4" t="s">
        <v>38</v>
      </c>
      <c r="B36" s="11">
        <v>79.900000000000006</v>
      </c>
      <c r="C36" s="11">
        <v>84.9</v>
      </c>
      <c r="D36" s="11">
        <v>89.4</v>
      </c>
      <c r="E36" s="11">
        <v>92.9</v>
      </c>
      <c r="F36" s="11">
        <v>87</v>
      </c>
      <c r="G36" s="11">
        <v>90.6</v>
      </c>
      <c r="H36" s="11">
        <v>94.6</v>
      </c>
      <c r="I36" s="11">
        <v>97.6</v>
      </c>
      <c r="J36" s="11">
        <v>96.8</v>
      </c>
      <c r="K36" s="11">
        <v>102.1</v>
      </c>
      <c r="L36" s="11">
        <v>100.4</v>
      </c>
      <c r="M36" s="11"/>
      <c r="N36" s="4" t="s">
        <v>38</v>
      </c>
      <c r="O36" s="12">
        <v>41326</v>
      </c>
      <c r="P36" s="12">
        <v>43261</v>
      </c>
      <c r="Q36" s="12">
        <v>44927</v>
      </c>
      <c r="R36" s="12">
        <v>46212</v>
      </c>
      <c r="S36" s="12">
        <v>42707</v>
      </c>
      <c r="T36" s="12">
        <v>43860</v>
      </c>
      <c r="U36" s="12">
        <v>45530</v>
      </c>
      <c r="V36" s="12">
        <v>46856</v>
      </c>
      <c r="W36" s="12">
        <v>46410</v>
      </c>
      <c r="X36" s="12">
        <v>49013</v>
      </c>
      <c r="Y36" s="12">
        <v>48247</v>
      </c>
      <c r="Z36" s="13"/>
      <c r="AA36" s="4" t="s">
        <v>38</v>
      </c>
      <c r="AB36" s="13">
        <v>84.5</v>
      </c>
      <c r="AC36" s="13">
        <v>83</v>
      </c>
      <c r="AD36" s="13">
        <v>82.2</v>
      </c>
      <c r="AE36" s="13">
        <v>86.5</v>
      </c>
      <c r="AF36" s="13">
        <v>84.8</v>
      </c>
      <c r="AG36" s="13">
        <v>84.5</v>
      </c>
      <c r="AH36" s="13">
        <v>84.1</v>
      </c>
      <c r="AI36" s="13">
        <v>81.8</v>
      </c>
      <c r="AJ36" s="13">
        <v>80.8</v>
      </c>
      <c r="AK36" s="13">
        <v>81.099999999999994</v>
      </c>
      <c r="AL36" s="13">
        <v>77.5</v>
      </c>
    </row>
    <row r="37" spans="1:38" ht="15.75" x14ac:dyDescent="0.25">
      <c r="A37" s="4" t="s">
        <v>39</v>
      </c>
      <c r="B37" s="11">
        <v>1143.2</v>
      </c>
      <c r="C37" s="11">
        <v>1227.5</v>
      </c>
      <c r="D37" s="11">
        <v>1304.3</v>
      </c>
      <c r="E37" s="11">
        <v>1245.3</v>
      </c>
      <c r="F37" s="11">
        <v>1237.7</v>
      </c>
      <c r="G37" s="11">
        <v>1301.4000000000001</v>
      </c>
      <c r="H37" s="11">
        <v>1349.8</v>
      </c>
      <c r="I37" s="11">
        <v>1470.9</v>
      </c>
      <c r="J37" s="11">
        <v>1478.3</v>
      </c>
      <c r="K37" s="11">
        <v>1568.3</v>
      </c>
      <c r="L37" s="11">
        <v>1623</v>
      </c>
      <c r="M37" s="11"/>
      <c r="N37" s="4" t="s">
        <v>39</v>
      </c>
      <c r="O37" s="12">
        <v>59752</v>
      </c>
      <c r="P37" s="12">
        <v>64253</v>
      </c>
      <c r="Q37" s="12">
        <v>68173</v>
      </c>
      <c r="R37" s="12">
        <v>64816</v>
      </c>
      <c r="S37" s="12">
        <v>64104</v>
      </c>
      <c r="T37" s="12">
        <v>67075</v>
      </c>
      <c r="U37" s="12">
        <v>69150</v>
      </c>
      <c r="V37" s="12">
        <v>75035</v>
      </c>
      <c r="W37" s="12">
        <v>75142</v>
      </c>
      <c r="X37" s="12">
        <v>79535</v>
      </c>
      <c r="Y37" s="12">
        <v>82190</v>
      </c>
      <c r="Z37" s="13"/>
      <c r="AA37" s="4" t="s">
        <v>39</v>
      </c>
      <c r="AB37" s="13">
        <v>122.1</v>
      </c>
      <c r="AC37" s="13">
        <v>123.3</v>
      </c>
      <c r="AD37" s="13">
        <v>124.8</v>
      </c>
      <c r="AE37" s="13">
        <v>121.3</v>
      </c>
      <c r="AF37" s="13">
        <v>127.3</v>
      </c>
      <c r="AG37" s="13">
        <v>129.19999999999999</v>
      </c>
      <c r="AH37" s="13">
        <v>127.8</v>
      </c>
      <c r="AI37" s="13">
        <v>131</v>
      </c>
      <c r="AJ37" s="13">
        <v>130.80000000000001</v>
      </c>
      <c r="AK37" s="13">
        <v>131.69999999999999</v>
      </c>
      <c r="AL37" s="13">
        <v>132</v>
      </c>
    </row>
    <row r="38" spans="1:38" ht="15.75" x14ac:dyDescent="0.25">
      <c r="A38" s="4" t="s">
        <v>40</v>
      </c>
      <c r="B38" s="11">
        <v>382.7</v>
      </c>
      <c r="C38" s="11">
        <v>418.4</v>
      </c>
      <c r="D38" s="11">
        <v>435.7</v>
      </c>
      <c r="E38" s="11">
        <v>446</v>
      </c>
      <c r="F38" s="11">
        <v>423.5</v>
      </c>
      <c r="G38" s="11">
        <v>432.2</v>
      </c>
      <c r="H38" s="11">
        <v>451.1</v>
      </c>
      <c r="I38" s="11">
        <v>470</v>
      </c>
      <c r="J38" s="11">
        <v>479.9</v>
      </c>
      <c r="K38" s="11">
        <v>508.4</v>
      </c>
      <c r="L38" s="11">
        <v>538</v>
      </c>
      <c r="M38" s="11"/>
      <c r="N38" s="4" t="s">
        <v>40</v>
      </c>
      <c r="O38" s="12">
        <v>43960</v>
      </c>
      <c r="P38" s="12">
        <v>46919</v>
      </c>
      <c r="Q38" s="12">
        <v>47789</v>
      </c>
      <c r="R38" s="12">
        <v>47907</v>
      </c>
      <c r="S38" s="12">
        <v>44818</v>
      </c>
      <c r="T38" s="12">
        <v>45210</v>
      </c>
      <c r="U38" s="12">
        <v>46742</v>
      </c>
      <c r="V38" s="12">
        <v>48225</v>
      </c>
      <c r="W38" s="12">
        <v>48760</v>
      </c>
      <c r="X38" s="12">
        <v>51177</v>
      </c>
      <c r="Y38" s="12">
        <v>53612</v>
      </c>
      <c r="Z38" s="13"/>
      <c r="AA38" s="4" t="s">
        <v>40</v>
      </c>
      <c r="AB38" s="13">
        <v>89.9</v>
      </c>
      <c r="AC38" s="13">
        <v>90</v>
      </c>
      <c r="AD38" s="13">
        <v>87.5</v>
      </c>
      <c r="AE38" s="13">
        <v>89.7</v>
      </c>
      <c r="AF38" s="13">
        <v>89</v>
      </c>
      <c r="AG38" s="13">
        <v>87.1</v>
      </c>
      <c r="AH38" s="13">
        <v>86.4</v>
      </c>
      <c r="AI38" s="13">
        <v>84.2</v>
      </c>
      <c r="AJ38" s="13">
        <v>84.9</v>
      </c>
      <c r="AK38" s="13">
        <v>84.7</v>
      </c>
      <c r="AL38" s="13">
        <v>86.1</v>
      </c>
    </row>
    <row r="39" spans="1:38" ht="15.75" x14ac:dyDescent="0.25">
      <c r="A39" s="4" t="s">
        <v>41</v>
      </c>
      <c r="B39" s="11">
        <v>26.6</v>
      </c>
      <c r="C39" s="11">
        <v>29</v>
      </c>
      <c r="D39" s="11">
        <v>32.200000000000003</v>
      </c>
      <c r="E39" s="11">
        <v>36.1</v>
      </c>
      <c r="F39" s="11">
        <v>34.799999999999997</v>
      </c>
      <c r="G39" s="11">
        <v>39</v>
      </c>
      <c r="H39" s="11">
        <v>45.5</v>
      </c>
      <c r="I39" s="11">
        <v>57.4</v>
      </c>
      <c r="J39" s="11">
        <v>58.8</v>
      </c>
      <c r="K39" s="11">
        <v>64.2</v>
      </c>
      <c r="L39" s="11">
        <v>60</v>
      </c>
      <c r="M39" s="11"/>
      <c r="N39" s="4" t="s">
        <v>41</v>
      </c>
      <c r="O39" s="12">
        <v>41164</v>
      </c>
      <c r="P39" s="12">
        <v>44628</v>
      </c>
      <c r="Q39" s="12">
        <v>49264</v>
      </c>
      <c r="R39" s="12">
        <v>54823</v>
      </c>
      <c r="S39" s="12">
        <v>52371</v>
      </c>
      <c r="T39" s="12">
        <v>57842</v>
      </c>
      <c r="U39" s="12">
        <v>66362</v>
      </c>
      <c r="V39" s="12">
        <v>81777</v>
      </c>
      <c r="W39" s="12">
        <v>81270</v>
      </c>
      <c r="X39" s="12">
        <v>86808</v>
      </c>
      <c r="Y39" s="12">
        <v>79324</v>
      </c>
      <c r="Z39" s="13"/>
      <c r="AA39" s="4" t="s">
        <v>41</v>
      </c>
      <c r="AB39" s="13">
        <v>84.1</v>
      </c>
      <c r="AC39" s="13">
        <v>85.7</v>
      </c>
      <c r="AD39" s="13">
        <v>90.2</v>
      </c>
      <c r="AE39" s="13">
        <v>102.6</v>
      </c>
      <c r="AF39" s="13">
        <v>104</v>
      </c>
      <c r="AG39" s="13">
        <v>111.4</v>
      </c>
      <c r="AH39" s="13">
        <v>122.6</v>
      </c>
      <c r="AI39" s="13">
        <v>142.80000000000001</v>
      </c>
      <c r="AJ39" s="13">
        <v>141.4</v>
      </c>
      <c r="AK39" s="13">
        <v>143.69999999999999</v>
      </c>
      <c r="AL39" s="13">
        <v>127.4</v>
      </c>
    </row>
    <row r="40" spans="1:38" ht="15.75" x14ac:dyDescent="0.25">
      <c r="A40" s="4" t="s">
        <v>42</v>
      </c>
      <c r="B40" s="11">
        <v>504</v>
      </c>
      <c r="C40" s="11">
        <v>525.29999999999995</v>
      </c>
      <c r="D40" s="11">
        <v>546.1</v>
      </c>
      <c r="E40" s="11">
        <v>534.79999999999995</v>
      </c>
      <c r="F40" s="11">
        <v>510.7</v>
      </c>
      <c r="G40" s="11">
        <v>531</v>
      </c>
      <c r="H40" s="11">
        <v>568.29999999999995</v>
      </c>
      <c r="I40" s="11">
        <v>600.5</v>
      </c>
      <c r="J40" s="11">
        <v>605.70000000000005</v>
      </c>
      <c r="K40" s="11">
        <v>642.5</v>
      </c>
      <c r="L40" s="11">
        <v>659.4</v>
      </c>
      <c r="M40" s="11"/>
      <c r="N40" s="4" t="s">
        <v>42</v>
      </c>
      <c r="O40" s="12">
        <v>43969</v>
      </c>
      <c r="P40" s="12">
        <v>45757</v>
      </c>
      <c r="Q40" s="12">
        <v>47484</v>
      </c>
      <c r="R40" s="12">
        <v>46445</v>
      </c>
      <c r="S40" s="12">
        <v>44298</v>
      </c>
      <c r="T40" s="12">
        <v>46010</v>
      </c>
      <c r="U40" s="12">
        <v>49225</v>
      </c>
      <c r="V40" s="12">
        <v>51988</v>
      </c>
      <c r="W40" s="12">
        <v>52355</v>
      </c>
      <c r="X40" s="12">
        <v>55413</v>
      </c>
      <c r="Y40" s="12">
        <v>56816</v>
      </c>
      <c r="Z40" s="13"/>
      <c r="AA40" s="4" t="s">
        <v>42</v>
      </c>
      <c r="AB40" s="13">
        <v>89.9</v>
      </c>
      <c r="AC40" s="13">
        <v>87.8</v>
      </c>
      <c r="AD40" s="13">
        <v>86.9</v>
      </c>
      <c r="AE40" s="13">
        <v>86.9</v>
      </c>
      <c r="AF40" s="13">
        <v>88</v>
      </c>
      <c r="AG40" s="13">
        <v>88.7</v>
      </c>
      <c r="AH40" s="13">
        <v>90.9</v>
      </c>
      <c r="AI40" s="13">
        <v>90.8</v>
      </c>
      <c r="AJ40" s="13">
        <v>91.1</v>
      </c>
      <c r="AK40" s="13">
        <v>91.7</v>
      </c>
      <c r="AL40" s="13">
        <v>91.3</v>
      </c>
    </row>
    <row r="41" spans="1:38" ht="15.75" x14ac:dyDescent="0.25">
      <c r="A41" s="4" t="s">
        <v>43</v>
      </c>
      <c r="B41" s="11">
        <v>138.30000000000001</v>
      </c>
      <c r="C41" s="11">
        <v>154.9</v>
      </c>
      <c r="D41" s="11">
        <v>166.4</v>
      </c>
      <c r="E41" s="11">
        <v>173.7</v>
      </c>
      <c r="F41" s="11">
        <v>156.80000000000001</v>
      </c>
      <c r="G41" s="11">
        <v>163</v>
      </c>
      <c r="H41" s="11">
        <v>179.6</v>
      </c>
      <c r="I41" s="11">
        <v>194.9</v>
      </c>
      <c r="J41" s="11">
        <v>202.1</v>
      </c>
      <c r="K41" s="11">
        <v>215.4</v>
      </c>
      <c r="L41" s="11">
        <v>207.9</v>
      </c>
      <c r="M41" s="11"/>
      <c r="N41" s="4" t="s">
        <v>43</v>
      </c>
      <c r="O41" s="12">
        <v>38964</v>
      </c>
      <c r="P41" s="12">
        <v>43089</v>
      </c>
      <c r="Q41" s="12">
        <v>45795</v>
      </c>
      <c r="R41" s="12">
        <v>47344</v>
      </c>
      <c r="S41" s="12">
        <v>42168</v>
      </c>
      <c r="T41" s="12">
        <v>43353</v>
      </c>
      <c r="U41" s="12">
        <v>47438</v>
      </c>
      <c r="V41" s="12">
        <v>51069</v>
      </c>
      <c r="W41" s="12">
        <v>52449</v>
      </c>
      <c r="X41" s="12">
        <v>55539</v>
      </c>
      <c r="Y41" s="12">
        <v>53207</v>
      </c>
      <c r="Z41" s="13"/>
      <c r="AA41" s="4" t="s">
        <v>43</v>
      </c>
      <c r="AB41" s="13">
        <v>79.599999999999994</v>
      </c>
      <c r="AC41" s="13">
        <v>82.7</v>
      </c>
      <c r="AD41" s="13">
        <v>83.8</v>
      </c>
      <c r="AE41" s="13">
        <v>88.6</v>
      </c>
      <c r="AF41" s="13">
        <v>83.7</v>
      </c>
      <c r="AG41" s="13">
        <v>83.5</v>
      </c>
      <c r="AH41" s="13">
        <v>87.6</v>
      </c>
      <c r="AI41" s="13">
        <v>89.2</v>
      </c>
      <c r="AJ41" s="13">
        <v>91.3</v>
      </c>
      <c r="AK41" s="13">
        <v>91.9</v>
      </c>
      <c r="AL41" s="13">
        <v>85.5</v>
      </c>
    </row>
    <row r="42" spans="1:38" ht="15.75" x14ac:dyDescent="0.25">
      <c r="A42" s="4" t="s">
        <v>44</v>
      </c>
      <c r="B42" s="11">
        <v>162.30000000000001</v>
      </c>
      <c r="C42" s="11">
        <v>182.3</v>
      </c>
      <c r="D42" s="11">
        <v>192.2</v>
      </c>
      <c r="E42" s="11">
        <v>197.7</v>
      </c>
      <c r="F42" s="11">
        <v>192.9</v>
      </c>
      <c r="G42" s="11">
        <v>202.3</v>
      </c>
      <c r="H42" s="11">
        <v>214.2</v>
      </c>
      <c r="I42" s="11">
        <v>215.5</v>
      </c>
      <c r="J42" s="11">
        <v>212.2</v>
      </c>
      <c r="K42" s="11">
        <v>222.4</v>
      </c>
      <c r="L42" s="11">
        <v>237.5</v>
      </c>
      <c r="M42" s="11"/>
      <c r="N42" s="4" t="s">
        <v>44</v>
      </c>
      <c r="O42" s="12">
        <v>44931</v>
      </c>
      <c r="P42" s="12">
        <v>49661</v>
      </c>
      <c r="Q42" s="12">
        <v>51623</v>
      </c>
      <c r="R42" s="12">
        <v>52462</v>
      </c>
      <c r="S42" s="12">
        <v>50652</v>
      </c>
      <c r="T42" s="12">
        <v>52704</v>
      </c>
      <c r="U42" s="12">
        <v>55376</v>
      </c>
      <c r="V42" s="12">
        <v>55276</v>
      </c>
      <c r="W42" s="12">
        <v>54060</v>
      </c>
      <c r="X42" s="12">
        <v>56037</v>
      </c>
      <c r="Y42" s="12">
        <v>59008</v>
      </c>
      <c r="Z42" s="13"/>
      <c r="AA42" s="4" t="s">
        <v>44</v>
      </c>
      <c r="AB42" s="13">
        <v>91.8</v>
      </c>
      <c r="AC42" s="13">
        <v>95.3</v>
      </c>
      <c r="AD42" s="13">
        <v>94.5</v>
      </c>
      <c r="AE42" s="13">
        <v>98.2</v>
      </c>
      <c r="AF42" s="13">
        <v>100.6</v>
      </c>
      <c r="AG42" s="13">
        <v>101.5</v>
      </c>
      <c r="AH42" s="13">
        <v>102.3</v>
      </c>
      <c r="AI42" s="13">
        <v>96.5</v>
      </c>
      <c r="AJ42" s="13">
        <v>94.1</v>
      </c>
      <c r="AK42" s="13">
        <v>92.8</v>
      </c>
      <c r="AL42" s="13">
        <v>94.8</v>
      </c>
    </row>
    <row r="43" spans="1:38" ht="15.75" x14ac:dyDescent="0.25">
      <c r="A43" s="4" t="s">
        <v>45</v>
      </c>
      <c r="B43" s="11">
        <v>570.29999999999995</v>
      </c>
      <c r="C43" s="11">
        <v>603.79999999999995</v>
      </c>
      <c r="D43" s="11">
        <v>651.6</v>
      </c>
      <c r="E43" s="11">
        <v>656.8</v>
      </c>
      <c r="F43" s="11">
        <v>634.20000000000005</v>
      </c>
      <c r="G43" s="11">
        <v>658</v>
      </c>
      <c r="H43" s="11">
        <v>686.5</v>
      </c>
      <c r="I43" s="11">
        <v>727.8</v>
      </c>
      <c r="J43" s="11">
        <v>734.7</v>
      </c>
      <c r="K43" s="11">
        <v>771.8</v>
      </c>
      <c r="L43" s="11">
        <v>800.7</v>
      </c>
      <c r="M43" s="11"/>
      <c r="N43" s="4" t="s">
        <v>45</v>
      </c>
      <c r="O43" s="12">
        <v>45804</v>
      </c>
      <c r="P43" s="12">
        <v>48265</v>
      </c>
      <c r="Q43" s="12">
        <v>51862</v>
      </c>
      <c r="R43" s="12">
        <v>52073</v>
      </c>
      <c r="S43" s="12">
        <v>50066</v>
      </c>
      <c r="T43" s="12">
        <v>51757</v>
      </c>
      <c r="U43" s="12">
        <v>53868</v>
      </c>
      <c r="V43" s="12">
        <v>56985</v>
      </c>
      <c r="W43" s="12">
        <v>57480</v>
      </c>
      <c r="X43" s="12">
        <v>60340</v>
      </c>
      <c r="Y43" s="12">
        <v>62597</v>
      </c>
      <c r="Z43" s="13"/>
      <c r="AA43" s="4" t="s">
        <v>45</v>
      </c>
      <c r="AB43" s="13">
        <v>93.6</v>
      </c>
      <c r="AC43" s="13">
        <v>92.6</v>
      </c>
      <c r="AD43" s="13">
        <v>94.9</v>
      </c>
      <c r="AE43" s="13">
        <v>97.4</v>
      </c>
      <c r="AF43" s="13">
        <v>99.4</v>
      </c>
      <c r="AG43" s="13">
        <v>99.7</v>
      </c>
      <c r="AH43" s="13">
        <v>99.5</v>
      </c>
      <c r="AI43" s="13">
        <v>99.5</v>
      </c>
      <c r="AJ43" s="13">
        <v>100</v>
      </c>
      <c r="AK43" s="13">
        <v>99.9</v>
      </c>
      <c r="AL43" s="13">
        <v>100.5</v>
      </c>
    </row>
    <row r="44" spans="1:38" ht="15.75" x14ac:dyDescent="0.25">
      <c r="A44" s="14" t="s">
        <v>46</v>
      </c>
      <c r="B44" s="15">
        <v>53.4</v>
      </c>
      <c r="C44" s="15">
        <v>56.8</v>
      </c>
      <c r="D44" s="15">
        <v>58</v>
      </c>
      <c r="E44" s="15">
        <v>56.2</v>
      </c>
      <c r="F44" s="15">
        <v>55</v>
      </c>
      <c r="G44" s="15">
        <v>56.7</v>
      </c>
      <c r="H44" s="15">
        <v>58.4</v>
      </c>
      <c r="I44" s="15">
        <v>61</v>
      </c>
      <c r="J44" s="15">
        <v>61.1</v>
      </c>
      <c r="K44" s="15">
        <v>63.6</v>
      </c>
      <c r="L44" s="15">
        <v>65.5</v>
      </c>
      <c r="M44" s="11"/>
      <c r="N44" s="14" t="s">
        <v>46</v>
      </c>
      <c r="O44" s="16">
        <v>49983</v>
      </c>
      <c r="P44" s="16">
        <v>53430</v>
      </c>
      <c r="Q44" s="16">
        <v>54856</v>
      </c>
      <c r="R44" s="16">
        <v>53251</v>
      </c>
      <c r="S44" s="16">
        <v>52178</v>
      </c>
      <c r="T44" s="16">
        <v>53804</v>
      </c>
      <c r="U44" s="16">
        <v>55520</v>
      </c>
      <c r="V44" s="16">
        <v>57963</v>
      </c>
      <c r="W44" s="16">
        <v>58041</v>
      </c>
      <c r="X44" s="16">
        <v>60327</v>
      </c>
      <c r="Y44" s="16">
        <v>62014</v>
      </c>
      <c r="Z44" s="18"/>
      <c r="AA44" s="14" t="s">
        <v>46</v>
      </c>
      <c r="AB44" s="17">
        <v>102.2</v>
      </c>
      <c r="AC44" s="17">
        <v>102.5</v>
      </c>
      <c r="AD44" s="17">
        <v>100.4</v>
      </c>
      <c r="AE44" s="17">
        <v>99.6</v>
      </c>
      <c r="AF44" s="17">
        <v>103.6</v>
      </c>
      <c r="AG44" s="17">
        <v>103.7</v>
      </c>
      <c r="AH44" s="17">
        <v>102.6</v>
      </c>
      <c r="AI44" s="17">
        <v>101.2</v>
      </c>
      <c r="AJ44" s="17">
        <v>101</v>
      </c>
      <c r="AK44" s="17">
        <v>99.9</v>
      </c>
      <c r="AL44" s="17">
        <v>99.6</v>
      </c>
    </row>
    <row r="45" spans="1:38" ht="15.75" x14ac:dyDescent="0.25">
      <c r="A45" s="4" t="s">
        <v>47</v>
      </c>
      <c r="B45" s="11">
        <v>159.4</v>
      </c>
      <c r="C45" s="11">
        <v>171.6</v>
      </c>
      <c r="D45" s="11">
        <v>184.2</v>
      </c>
      <c r="E45" s="11">
        <v>181.9</v>
      </c>
      <c r="F45" s="11">
        <v>175.8</v>
      </c>
      <c r="G45" s="11">
        <v>179.4</v>
      </c>
      <c r="H45" s="11">
        <v>187.9</v>
      </c>
      <c r="I45" s="11">
        <v>197</v>
      </c>
      <c r="J45" s="11">
        <v>201</v>
      </c>
      <c r="K45" s="11">
        <v>214.8</v>
      </c>
      <c r="L45" s="11">
        <v>227.3</v>
      </c>
      <c r="M45" s="11"/>
      <c r="N45" s="4" t="s">
        <v>47</v>
      </c>
      <c r="O45" s="12">
        <v>37318</v>
      </c>
      <c r="P45" s="12">
        <v>39384</v>
      </c>
      <c r="Q45" s="12">
        <v>41453</v>
      </c>
      <c r="R45" s="12">
        <v>40171</v>
      </c>
      <c r="S45" s="12">
        <v>38300</v>
      </c>
      <c r="T45" s="12">
        <v>38706</v>
      </c>
      <c r="U45" s="12">
        <v>40216</v>
      </c>
      <c r="V45" s="12">
        <v>41721</v>
      </c>
      <c r="W45" s="12">
        <v>42167</v>
      </c>
      <c r="X45" s="12">
        <v>44491</v>
      </c>
      <c r="Y45" s="12">
        <v>46440</v>
      </c>
      <c r="Z45" s="13"/>
      <c r="AA45" s="4" t="s">
        <v>47</v>
      </c>
      <c r="AB45" s="13">
        <v>76.3</v>
      </c>
      <c r="AC45" s="13">
        <v>75.599999999999994</v>
      </c>
      <c r="AD45" s="13">
        <v>75.900000000000006</v>
      </c>
      <c r="AE45" s="13">
        <v>75.2</v>
      </c>
      <c r="AF45" s="13">
        <v>76</v>
      </c>
      <c r="AG45" s="13">
        <v>74.599999999999994</v>
      </c>
      <c r="AH45" s="13">
        <v>74.3</v>
      </c>
      <c r="AI45" s="13">
        <v>72.900000000000006</v>
      </c>
      <c r="AJ45" s="13">
        <v>73.400000000000006</v>
      </c>
      <c r="AK45" s="13">
        <v>73.599999999999994</v>
      </c>
      <c r="AL45" s="13">
        <v>74.599999999999994</v>
      </c>
    </row>
    <row r="46" spans="1:38" ht="15.75" x14ac:dyDescent="0.25">
      <c r="A46" s="4" t="s">
        <v>48</v>
      </c>
      <c r="B46" s="11">
        <v>35.6</v>
      </c>
      <c r="C46" s="11">
        <v>37.799999999999997</v>
      </c>
      <c r="D46" s="11">
        <v>41.3</v>
      </c>
      <c r="E46" s="11">
        <v>43</v>
      </c>
      <c r="F46" s="11">
        <v>40.9</v>
      </c>
      <c r="G46" s="11">
        <v>42.6</v>
      </c>
      <c r="H46" s="11">
        <v>47.3</v>
      </c>
      <c r="I46" s="11">
        <v>49.7</v>
      </c>
      <c r="J46" s="11">
        <v>49.6</v>
      </c>
      <c r="K46" s="11">
        <v>51.3</v>
      </c>
      <c r="L46" s="11">
        <v>53.5</v>
      </c>
      <c r="M46" s="11"/>
      <c r="N46" s="4" t="s">
        <v>48</v>
      </c>
      <c r="O46" s="12">
        <v>45929</v>
      </c>
      <c r="P46" s="12">
        <v>48271</v>
      </c>
      <c r="Q46" s="12">
        <v>52220</v>
      </c>
      <c r="R46" s="12">
        <v>53865</v>
      </c>
      <c r="S46" s="12">
        <v>50693</v>
      </c>
      <c r="T46" s="12">
        <v>52191</v>
      </c>
      <c r="U46" s="12">
        <v>57423</v>
      </c>
      <c r="V46" s="12">
        <v>59617</v>
      </c>
      <c r="W46" s="12">
        <v>58659</v>
      </c>
      <c r="X46" s="12">
        <v>60200</v>
      </c>
      <c r="Y46" s="12">
        <v>62335</v>
      </c>
      <c r="Z46" s="13"/>
      <c r="AA46" s="4" t="s">
        <v>48</v>
      </c>
      <c r="AB46" s="13">
        <v>93.9</v>
      </c>
      <c r="AC46" s="13">
        <v>92.6</v>
      </c>
      <c r="AD46" s="13">
        <v>95.6</v>
      </c>
      <c r="AE46" s="13">
        <v>100.8</v>
      </c>
      <c r="AF46" s="13">
        <v>100.6</v>
      </c>
      <c r="AG46" s="13">
        <v>100.6</v>
      </c>
      <c r="AH46" s="13">
        <v>106.1</v>
      </c>
      <c r="AI46" s="13">
        <v>104.1</v>
      </c>
      <c r="AJ46" s="13">
        <v>102.1</v>
      </c>
      <c r="AK46" s="13">
        <v>99.7</v>
      </c>
      <c r="AL46" s="13">
        <v>100.1</v>
      </c>
    </row>
    <row r="47" spans="1:38" ht="15.75" x14ac:dyDescent="0.25">
      <c r="A47" s="4" t="s">
        <v>49</v>
      </c>
      <c r="B47" s="11">
        <v>244.5</v>
      </c>
      <c r="C47" s="11">
        <v>260.89999999999998</v>
      </c>
      <c r="D47" s="11">
        <v>269.2</v>
      </c>
      <c r="E47" s="11">
        <v>269.3</v>
      </c>
      <c r="F47" s="11">
        <v>261.5</v>
      </c>
      <c r="G47" s="11">
        <v>269.3</v>
      </c>
      <c r="H47" s="11">
        <v>282.89999999999998</v>
      </c>
      <c r="I47" s="11">
        <v>304.2</v>
      </c>
      <c r="J47" s="11">
        <v>307.7</v>
      </c>
      <c r="K47" s="11">
        <v>323.60000000000002</v>
      </c>
      <c r="L47" s="11">
        <v>341.1</v>
      </c>
      <c r="M47" s="11"/>
      <c r="N47" s="4" t="s">
        <v>49</v>
      </c>
      <c r="O47" s="12">
        <v>40807</v>
      </c>
      <c r="P47" s="12">
        <v>42852</v>
      </c>
      <c r="Q47" s="12">
        <v>43593</v>
      </c>
      <c r="R47" s="12">
        <v>43106</v>
      </c>
      <c r="S47" s="12">
        <v>41476</v>
      </c>
      <c r="T47" s="12">
        <v>42360</v>
      </c>
      <c r="U47" s="12">
        <v>44220</v>
      </c>
      <c r="V47" s="12">
        <v>47126</v>
      </c>
      <c r="W47" s="12">
        <v>47379</v>
      </c>
      <c r="X47" s="12">
        <v>49445</v>
      </c>
      <c r="Y47" s="12">
        <v>51724</v>
      </c>
      <c r="Z47" s="13"/>
      <c r="AA47" s="4" t="s">
        <v>49</v>
      </c>
      <c r="AB47" s="13">
        <v>83.4</v>
      </c>
      <c r="AC47" s="13">
        <v>82.2</v>
      </c>
      <c r="AD47" s="13">
        <v>79.8</v>
      </c>
      <c r="AE47" s="13">
        <v>80.7</v>
      </c>
      <c r="AF47" s="13">
        <v>82.3</v>
      </c>
      <c r="AG47" s="13">
        <v>81.599999999999994</v>
      </c>
      <c r="AH47" s="13">
        <v>81.7</v>
      </c>
      <c r="AI47" s="13">
        <v>82.3</v>
      </c>
      <c r="AJ47" s="13">
        <v>82.5</v>
      </c>
      <c r="AK47" s="13">
        <v>81.8</v>
      </c>
      <c r="AL47" s="13">
        <v>83.1</v>
      </c>
    </row>
    <row r="48" spans="1:38" ht="15.75" x14ac:dyDescent="0.25">
      <c r="A48" s="4" t="s">
        <v>50</v>
      </c>
      <c r="B48" s="11">
        <v>1058.3</v>
      </c>
      <c r="C48" s="11">
        <v>1178.8</v>
      </c>
      <c r="D48" s="11">
        <v>1282.8</v>
      </c>
      <c r="E48" s="11">
        <v>1345</v>
      </c>
      <c r="F48" s="11">
        <v>1225.5999999999999</v>
      </c>
      <c r="G48" s="11">
        <v>1305.2</v>
      </c>
      <c r="H48" s="11">
        <v>1431.9</v>
      </c>
      <c r="I48" s="11">
        <v>1565.3</v>
      </c>
      <c r="J48" s="11">
        <v>1625.8</v>
      </c>
      <c r="K48" s="11">
        <v>1735.2</v>
      </c>
      <c r="L48" s="11">
        <v>1728.6</v>
      </c>
      <c r="M48" s="11"/>
      <c r="N48" s="4" t="s">
        <v>50</v>
      </c>
      <c r="O48" s="12">
        <v>46463</v>
      </c>
      <c r="P48" s="12">
        <v>50463</v>
      </c>
      <c r="Q48" s="12">
        <v>53827</v>
      </c>
      <c r="R48" s="12">
        <v>55330</v>
      </c>
      <c r="S48" s="12">
        <v>49417</v>
      </c>
      <c r="T48" s="12">
        <v>51701</v>
      </c>
      <c r="U48" s="12">
        <v>55832</v>
      </c>
      <c r="V48" s="12">
        <v>60040</v>
      </c>
      <c r="W48" s="12">
        <v>61413</v>
      </c>
      <c r="X48" s="12">
        <v>64397</v>
      </c>
      <c r="Y48" s="12">
        <v>63021</v>
      </c>
      <c r="Z48" s="13"/>
      <c r="AA48" s="4" t="s">
        <v>50</v>
      </c>
      <c r="AB48" s="13">
        <v>95</v>
      </c>
      <c r="AC48" s="13">
        <v>96.9</v>
      </c>
      <c r="AD48" s="13">
        <v>98.5</v>
      </c>
      <c r="AE48" s="13">
        <v>103.5</v>
      </c>
      <c r="AF48" s="13">
        <v>98.1</v>
      </c>
      <c r="AG48" s="13">
        <v>99.6</v>
      </c>
      <c r="AH48" s="13">
        <v>103.1</v>
      </c>
      <c r="AI48" s="13">
        <v>104.8</v>
      </c>
      <c r="AJ48" s="13">
        <v>106.9</v>
      </c>
      <c r="AK48" s="13">
        <v>106.6</v>
      </c>
      <c r="AL48" s="13">
        <v>101.2</v>
      </c>
    </row>
    <row r="49" spans="1:38" ht="15.75" x14ac:dyDescent="0.25">
      <c r="A49" s="4" t="s">
        <v>51</v>
      </c>
      <c r="B49" s="11">
        <v>101.6</v>
      </c>
      <c r="C49" s="11">
        <v>115.5</v>
      </c>
      <c r="D49" s="11">
        <v>127.7</v>
      </c>
      <c r="E49" s="11">
        <v>125</v>
      </c>
      <c r="F49" s="11">
        <v>118.5</v>
      </c>
      <c r="G49" s="11">
        <v>123</v>
      </c>
      <c r="H49" s="11">
        <v>130.69999999999999</v>
      </c>
      <c r="I49" s="11">
        <v>138.6</v>
      </c>
      <c r="J49" s="11">
        <v>141</v>
      </c>
      <c r="K49" s="11">
        <v>150.30000000000001</v>
      </c>
      <c r="L49" s="11">
        <v>159.69999999999999</v>
      </c>
      <c r="M49" s="11"/>
      <c r="N49" s="4" t="s">
        <v>51</v>
      </c>
      <c r="O49" s="12">
        <v>41345</v>
      </c>
      <c r="P49" s="12">
        <v>45741</v>
      </c>
      <c r="Q49" s="12">
        <v>49152</v>
      </c>
      <c r="R49" s="12">
        <v>46931</v>
      </c>
      <c r="S49" s="12">
        <v>43511</v>
      </c>
      <c r="T49" s="12">
        <v>44306</v>
      </c>
      <c r="U49" s="12">
        <v>46416</v>
      </c>
      <c r="V49" s="12">
        <v>48540</v>
      </c>
      <c r="W49" s="12">
        <v>48574</v>
      </c>
      <c r="X49" s="12">
        <v>51099</v>
      </c>
      <c r="Y49" s="12">
        <v>53385</v>
      </c>
      <c r="Z49" s="13"/>
      <c r="AA49" s="4" t="s">
        <v>51</v>
      </c>
      <c r="AB49" s="13">
        <v>84.5</v>
      </c>
      <c r="AC49" s="13">
        <v>87.8</v>
      </c>
      <c r="AD49" s="13">
        <v>90</v>
      </c>
      <c r="AE49" s="13">
        <v>87.8</v>
      </c>
      <c r="AF49" s="13">
        <v>86.4</v>
      </c>
      <c r="AG49" s="13">
        <v>85.4</v>
      </c>
      <c r="AH49" s="13">
        <v>85.8</v>
      </c>
      <c r="AI49" s="13">
        <v>84.8</v>
      </c>
      <c r="AJ49" s="13">
        <v>84.5</v>
      </c>
      <c r="AK49" s="13">
        <v>84.6</v>
      </c>
      <c r="AL49" s="13">
        <v>85.7</v>
      </c>
    </row>
    <row r="50" spans="1:38" ht="15.75" x14ac:dyDescent="0.25">
      <c r="A50" s="4" t="s">
        <v>52</v>
      </c>
      <c r="B50" s="11">
        <v>27.1</v>
      </c>
      <c r="C50" s="11">
        <v>28.9</v>
      </c>
      <c r="D50" s="11">
        <v>30</v>
      </c>
      <c r="E50" s="11">
        <v>29.7</v>
      </c>
      <c r="F50" s="11">
        <v>28.8</v>
      </c>
      <c r="G50" s="11">
        <v>29.6</v>
      </c>
      <c r="H50" s="11">
        <v>31.5</v>
      </c>
      <c r="I50" s="11">
        <v>32.700000000000003</v>
      </c>
      <c r="J50" s="11">
        <v>32.700000000000003</v>
      </c>
      <c r="K50" s="11">
        <v>34.200000000000003</v>
      </c>
      <c r="L50" s="11">
        <v>35.299999999999997</v>
      </c>
      <c r="M50" s="11"/>
      <c r="N50" s="4" t="s">
        <v>52</v>
      </c>
      <c r="O50" s="12">
        <v>43660</v>
      </c>
      <c r="P50" s="12">
        <v>46368</v>
      </c>
      <c r="Q50" s="12">
        <v>48107</v>
      </c>
      <c r="R50" s="12">
        <v>47513</v>
      </c>
      <c r="S50" s="12">
        <v>46026</v>
      </c>
      <c r="T50" s="12">
        <v>47323</v>
      </c>
      <c r="U50" s="12">
        <v>50230</v>
      </c>
      <c r="V50" s="12">
        <v>52213</v>
      </c>
      <c r="W50" s="12">
        <v>52220</v>
      </c>
      <c r="X50" s="12">
        <v>54508</v>
      </c>
      <c r="Y50" s="12">
        <v>56305</v>
      </c>
      <c r="Z50" s="13"/>
      <c r="AA50" s="4" t="s">
        <v>52</v>
      </c>
      <c r="AB50" s="13">
        <v>89.2</v>
      </c>
      <c r="AC50" s="13">
        <v>89</v>
      </c>
      <c r="AD50" s="13">
        <v>88.1</v>
      </c>
      <c r="AE50" s="13">
        <v>88.9</v>
      </c>
      <c r="AF50" s="13">
        <v>91.4</v>
      </c>
      <c r="AG50" s="13">
        <v>91.2</v>
      </c>
      <c r="AH50" s="13">
        <v>92.8</v>
      </c>
      <c r="AI50" s="13">
        <v>91.2</v>
      </c>
      <c r="AJ50" s="13">
        <v>90.9</v>
      </c>
      <c r="AK50" s="13">
        <v>90.2</v>
      </c>
      <c r="AL50" s="13">
        <v>90.4</v>
      </c>
    </row>
    <row r="51" spans="1:38" ht="15.75" x14ac:dyDescent="0.25">
      <c r="A51" s="4" t="s">
        <v>53</v>
      </c>
      <c r="B51" s="11">
        <v>411.3</v>
      </c>
      <c r="C51" s="11">
        <v>442.4</v>
      </c>
      <c r="D51" s="11">
        <v>464.4</v>
      </c>
      <c r="E51" s="11">
        <v>458.6</v>
      </c>
      <c r="F51" s="11">
        <v>451.5</v>
      </c>
      <c r="G51" s="11">
        <v>468.3</v>
      </c>
      <c r="H51" s="11">
        <v>486.3</v>
      </c>
      <c r="I51" s="11">
        <v>509</v>
      </c>
      <c r="J51" s="11">
        <v>506.5</v>
      </c>
      <c r="K51" s="11">
        <v>528.6</v>
      </c>
      <c r="L51" s="11">
        <v>552.4</v>
      </c>
      <c r="M51" s="11"/>
      <c r="N51" s="4" t="s">
        <v>53</v>
      </c>
      <c r="O51" s="12">
        <v>54288</v>
      </c>
      <c r="P51" s="12">
        <v>57651</v>
      </c>
      <c r="Q51" s="12">
        <v>59912</v>
      </c>
      <c r="R51" s="12">
        <v>58548</v>
      </c>
      <c r="S51" s="12">
        <v>56962</v>
      </c>
      <c r="T51" s="12">
        <v>58353</v>
      </c>
      <c r="U51" s="12">
        <v>59958</v>
      </c>
      <c r="V51" s="12">
        <v>62136</v>
      </c>
      <c r="W51" s="12">
        <v>61301</v>
      </c>
      <c r="X51" s="12">
        <v>63559</v>
      </c>
      <c r="Y51" s="12">
        <v>66022</v>
      </c>
      <c r="Z51" s="13"/>
      <c r="AA51" s="4" t="s">
        <v>53</v>
      </c>
      <c r="AB51" s="13">
        <v>111</v>
      </c>
      <c r="AC51" s="13">
        <v>110.6</v>
      </c>
      <c r="AD51" s="13">
        <v>109.7</v>
      </c>
      <c r="AE51" s="13">
        <v>109.6</v>
      </c>
      <c r="AF51" s="13">
        <v>113.1</v>
      </c>
      <c r="AG51" s="13">
        <v>112.4</v>
      </c>
      <c r="AH51" s="13">
        <v>110.8</v>
      </c>
      <c r="AI51" s="13">
        <v>108.5</v>
      </c>
      <c r="AJ51" s="13">
        <v>106.7</v>
      </c>
      <c r="AK51" s="13">
        <v>105.2</v>
      </c>
      <c r="AL51" s="13">
        <v>106</v>
      </c>
    </row>
    <row r="52" spans="1:38" ht="15.75" x14ac:dyDescent="0.25">
      <c r="A52" s="4" t="s">
        <v>54</v>
      </c>
      <c r="B52" s="11">
        <v>329.3</v>
      </c>
      <c r="C52" s="11">
        <v>358.9</v>
      </c>
      <c r="D52" s="11">
        <v>399.2</v>
      </c>
      <c r="E52" s="11">
        <v>395.6</v>
      </c>
      <c r="F52" s="11">
        <v>373.9</v>
      </c>
      <c r="G52" s="11">
        <v>383.7</v>
      </c>
      <c r="H52" s="11">
        <v>401.1</v>
      </c>
      <c r="I52" s="11">
        <v>435.9</v>
      </c>
      <c r="J52" s="11">
        <v>442.4</v>
      </c>
      <c r="K52" s="11">
        <v>475.4</v>
      </c>
      <c r="L52" s="11">
        <v>502.1</v>
      </c>
      <c r="M52" s="11"/>
      <c r="N52" s="4" t="s">
        <v>54</v>
      </c>
      <c r="O52" s="12">
        <v>52619</v>
      </c>
      <c r="P52" s="12">
        <v>56339</v>
      </c>
      <c r="Q52" s="12">
        <v>61782</v>
      </c>
      <c r="R52" s="12">
        <v>60288</v>
      </c>
      <c r="S52" s="12">
        <v>56085</v>
      </c>
      <c r="T52" s="12">
        <v>56899</v>
      </c>
      <c r="U52" s="12">
        <v>58792</v>
      </c>
      <c r="V52" s="12">
        <v>63224</v>
      </c>
      <c r="W52" s="12">
        <v>63492</v>
      </c>
      <c r="X52" s="12">
        <v>67397</v>
      </c>
      <c r="Y52" s="12">
        <v>70124</v>
      </c>
      <c r="Z52" s="13"/>
      <c r="AA52" s="4" t="s">
        <v>54</v>
      </c>
      <c r="AB52" s="13">
        <v>107.5</v>
      </c>
      <c r="AC52" s="13">
        <v>108.1</v>
      </c>
      <c r="AD52" s="13">
        <v>113.1</v>
      </c>
      <c r="AE52" s="13">
        <v>112.8</v>
      </c>
      <c r="AF52" s="13">
        <v>111.4</v>
      </c>
      <c r="AG52" s="13">
        <v>109.6</v>
      </c>
      <c r="AH52" s="13">
        <v>108.6</v>
      </c>
      <c r="AI52" s="13">
        <v>110.4</v>
      </c>
      <c r="AJ52" s="13">
        <v>110.5</v>
      </c>
      <c r="AK52" s="13">
        <v>111.6</v>
      </c>
      <c r="AL52" s="13">
        <v>112.6</v>
      </c>
    </row>
    <row r="53" spans="1:38" ht="15.75" x14ac:dyDescent="0.25">
      <c r="A53" s="4" t="s">
        <v>55</v>
      </c>
      <c r="B53" s="11">
        <v>60.7</v>
      </c>
      <c r="C53" s="11">
        <v>65.2</v>
      </c>
      <c r="D53" s="11">
        <v>68.8</v>
      </c>
      <c r="E53" s="11">
        <v>72.400000000000006</v>
      </c>
      <c r="F53" s="11">
        <v>72.7</v>
      </c>
      <c r="G53" s="11">
        <v>75.599999999999994</v>
      </c>
      <c r="H53" s="11">
        <v>80.400000000000006</v>
      </c>
      <c r="I53" s="11">
        <v>81</v>
      </c>
      <c r="J53" s="11">
        <v>81.5</v>
      </c>
      <c r="K53" s="11">
        <v>84.3</v>
      </c>
      <c r="L53" s="11">
        <v>84.2</v>
      </c>
      <c r="M53" s="11"/>
      <c r="N53" s="4" t="s">
        <v>55</v>
      </c>
      <c r="O53" s="12">
        <v>33346</v>
      </c>
      <c r="P53" s="12">
        <v>35685</v>
      </c>
      <c r="Q53" s="12">
        <v>37486</v>
      </c>
      <c r="R53" s="12">
        <v>39330</v>
      </c>
      <c r="S53" s="12">
        <v>39363</v>
      </c>
      <c r="T53" s="12">
        <v>40770</v>
      </c>
      <c r="U53" s="12">
        <v>43322</v>
      </c>
      <c r="V53" s="12">
        <v>43641</v>
      </c>
      <c r="W53" s="12">
        <v>43954</v>
      </c>
      <c r="X53" s="12">
        <v>45613</v>
      </c>
      <c r="Y53" s="12">
        <v>45756</v>
      </c>
      <c r="Z53" s="13"/>
      <c r="AA53" s="4" t="s">
        <v>55</v>
      </c>
      <c r="AB53" s="13">
        <v>68.2</v>
      </c>
      <c r="AC53" s="13">
        <v>68.5</v>
      </c>
      <c r="AD53" s="13">
        <v>68.599999999999994</v>
      </c>
      <c r="AE53" s="13">
        <v>73.599999999999994</v>
      </c>
      <c r="AF53" s="13">
        <v>78.2</v>
      </c>
      <c r="AG53" s="13">
        <v>78.599999999999994</v>
      </c>
      <c r="AH53" s="13">
        <v>80</v>
      </c>
      <c r="AI53" s="13">
        <v>76.2</v>
      </c>
      <c r="AJ53" s="13">
        <v>76.5</v>
      </c>
      <c r="AK53" s="13">
        <v>75.5</v>
      </c>
      <c r="AL53" s="13">
        <v>73.5</v>
      </c>
    </row>
    <row r="54" spans="1:38" ht="15.75" x14ac:dyDescent="0.25">
      <c r="A54" s="4" t="s">
        <v>56</v>
      </c>
      <c r="B54" s="11">
        <v>249.8</v>
      </c>
      <c r="C54" s="11">
        <v>265.8</v>
      </c>
      <c r="D54" s="11">
        <v>277</v>
      </c>
      <c r="E54" s="11">
        <v>272.89999999999998</v>
      </c>
      <c r="F54" s="11">
        <v>266.3</v>
      </c>
      <c r="G54" s="11">
        <v>274.10000000000002</v>
      </c>
      <c r="H54" s="11">
        <v>289.2</v>
      </c>
      <c r="I54" s="11">
        <v>305.39999999999998</v>
      </c>
      <c r="J54" s="11">
        <v>310.10000000000002</v>
      </c>
      <c r="K54" s="11">
        <v>324.7</v>
      </c>
      <c r="L54" s="11">
        <v>336.6</v>
      </c>
      <c r="M54" s="11"/>
      <c r="N54" s="20" t="s">
        <v>56</v>
      </c>
      <c r="O54" s="12">
        <v>45045</v>
      </c>
      <c r="P54" s="12">
        <v>47658</v>
      </c>
      <c r="Q54" s="12">
        <v>49377</v>
      </c>
      <c r="R54" s="12">
        <v>48384</v>
      </c>
      <c r="S54" s="12">
        <v>46966</v>
      </c>
      <c r="T54" s="12">
        <v>48166</v>
      </c>
      <c r="U54" s="12">
        <v>50658</v>
      </c>
      <c r="V54" s="12">
        <v>53341</v>
      </c>
      <c r="W54" s="12">
        <v>53994</v>
      </c>
      <c r="X54" s="12">
        <v>56396</v>
      </c>
      <c r="Y54" s="12">
        <v>58361</v>
      </c>
      <c r="Z54" s="13"/>
      <c r="AA54" s="20" t="s">
        <v>56</v>
      </c>
      <c r="AB54" s="13">
        <v>92.1</v>
      </c>
      <c r="AC54" s="13">
        <v>91.5</v>
      </c>
      <c r="AD54" s="13">
        <v>90.4</v>
      </c>
      <c r="AE54" s="13">
        <v>90.5</v>
      </c>
      <c r="AF54" s="13">
        <v>93.2</v>
      </c>
      <c r="AG54" s="13">
        <v>92.8</v>
      </c>
      <c r="AH54" s="13">
        <v>93.6</v>
      </c>
      <c r="AI54" s="13">
        <v>93.1</v>
      </c>
      <c r="AJ54" s="13">
        <v>94</v>
      </c>
      <c r="AK54" s="13">
        <v>93.4</v>
      </c>
      <c r="AL54" s="13">
        <v>93.7</v>
      </c>
    </row>
    <row r="55" spans="1:38" ht="15.75" x14ac:dyDescent="0.25">
      <c r="A55" s="21" t="s">
        <v>57</v>
      </c>
      <c r="B55" s="15">
        <v>32.4</v>
      </c>
      <c r="C55" s="15">
        <v>39</v>
      </c>
      <c r="D55" s="15">
        <v>43.3</v>
      </c>
      <c r="E55" s="15">
        <v>48</v>
      </c>
      <c r="F55" s="15">
        <v>39.5</v>
      </c>
      <c r="G55" s="15">
        <v>42.4</v>
      </c>
      <c r="H55" s="15">
        <v>45.2</v>
      </c>
      <c r="I55" s="15">
        <v>53.3</v>
      </c>
      <c r="J55" s="15">
        <v>46.8</v>
      </c>
      <c r="K55" s="15">
        <v>48.3</v>
      </c>
      <c r="L55" s="15">
        <v>45.6</v>
      </c>
      <c r="M55" s="11"/>
      <c r="N55" s="21" t="s">
        <v>57</v>
      </c>
      <c r="O55" s="16">
        <v>63002</v>
      </c>
      <c r="P55" s="16">
        <v>74689</v>
      </c>
      <c r="Q55" s="16">
        <v>80996</v>
      </c>
      <c r="R55" s="16">
        <v>87930</v>
      </c>
      <c r="S55" s="16">
        <v>70503</v>
      </c>
      <c r="T55" s="16">
        <v>75022</v>
      </c>
      <c r="U55" s="16">
        <v>79625</v>
      </c>
      <c r="V55" s="16">
        <v>92336</v>
      </c>
      <c r="W55" s="16">
        <v>80386</v>
      </c>
      <c r="X55" s="16">
        <v>82672</v>
      </c>
      <c r="Y55" s="16">
        <v>77729</v>
      </c>
      <c r="Z55" s="13"/>
      <c r="AA55" s="21" t="s">
        <v>57</v>
      </c>
      <c r="AB55" s="17">
        <v>128.80000000000001</v>
      </c>
      <c r="AC55" s="17">
        <v>143.30000000000001</v>
      </c>
      <c r="AD55" s="17">
        <v>148.30000000000001</v>
      </c>
      <c r="AE55" s="17">
        <v>164.5</v>
      </c>
      <c r="AF55" s="17">
        <v>140</v>
      </c>
      <c r="AG55" s="17">
        <v>144.5</v>
      </c>
      <c r="AH55" s="17">
        <v>147.1</v>
      </c>
      <c r="AI55" s="17">
        <v>161.19999999999999</v>
      </c>
      <c r="AJ55" s="17">
        <v>139.9</v>
      </c>
      <c r="AK55" s="17">
        <v>136.80000000000001</v>
      </c>
      <c r="AL55" s="17">
        <v>124.8</v>
      </c>
    </row>
    <row r="56" spans="1:38" ht="15.75" x14ac:dyDescent="0.25">
      <c r="A56" s="3"/>
      <c r="B56" s="3"/>
      <c r="C56" s="11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3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  <c r="AA56" s="3"/>
      <c r="AB56" s="13"/>
      <c r="AC56" s="13" t="s">
        <v>58</v>
      </c>
      <c r="AD56" s="13" t="s">
        <v>58</v>
      </c>
      <c r="AE56" s="13" t="s">
        <v>58</v>
      </c>
      <c r="AF56" s="13" t="s">
        <v>58</v>
      </c>
      <c r="AG56" s="13" t="s">
        <v>58</v>
      </c>
      <c r="AH56" s="13" t="s">
        <v>58</v>
      </c>
      <c r="AI56" s="13" t="s">
        <v>58</v>
      </c>
      <c r="AJ56" s="13" t="s">
        <v>58</v>
      </c>
      <c r="AK56" s="13" t="s">
        <v>58</v>
      </c>
      <c r="AL56" s="13" t="s">
        <v>58</v>
      </c>
    </row>
    <row r="57" spans="1:38" ht="16.5" thickBot="1" x14ac:dyDescent="0.3">
      <c r="A57" s="23" t="s">
        <v>59</v>
      </c>
      <c r="B57" s="38">
        <v>14458.4</v>
      </c>
      <c r="C57" s="38">
        <v>15546.7</v>
      </c>
      <c r="D57" s="38">
        <v>16454.2</v>
      </c>
      <c r="E57" s="38">
        <v>16250.1</v>
      </c>
      <c r="F57" s="38">
        <v>15451.2</v>
      </c>
      <c r="G57" s="38">
        <v>16055.3</v>
      </c>
      <c r="H57" s="38">
        <v>16870</v>
      </c>
      <c r="I57" s="38">
        <v>17982.2</v>
      </c>
      <c r="J57" s="38">
        <v>18169.900000000001</v>
      </c>
      <c r="K57" s="38">
        <v>19244.599999999999</v>
      </c>
      <c r="L57" s="38">
        <v>19979.900000000001</v>
      </c>
      <c r="M57" s="11"/>
      <c r="N57" s="23" t="s">
        <v>59</v>
      </c>
      <c r="O57" s="39">
        <v>48926</v>
      </c>
      <c r="P57" s="39">
        <v>52104</v>
      </c>
      <c r="Q57" s="39">
        <v>54623</v>
      </c>
      <c r="R57" s="39">
        <v>53438</v>
      </c>
      <c r="S57" s="39">
        <v>50367</v>
      </c>
      <c r="T57" s="39">
        <v>51900</v>
      </c>
      <c r="U57" s="39">
        <v>54129</v>
      </c>
      <c r="V57" s="39">
        <v>57269</v>
      </c>
      <c r="W57" s="39">
        <v>57463</v>
      </c>
      <c r="X57" s="39">
        <v>60411</v>
      </c>
      <c r="Y57" s="39">
        <v>62263</v>
      </c>
      <c r="Z57" s="25"/>
      <c r="AA57" s="23" t="s">
        <v>59</v>
      </c>
      <c r="AB57" s="24">
        <v>100</v>
      </c>
      <c r="AC57" s="24">
        <v>100</v>
      </c>
      <c r="AD57" s="24">
        <v>100</v>
      </c>
      <c r="AE57" s="24">
        <v>100</v>
      </c>
      <c r="AF57" s="24">
        <v>100</v>
      </c>
      <c r="AG57" s="24">
        <v>100</v>
      </c>
      <c r="AH57" s="24">
        <v>100</v>
      </c>
      <c r="AI57" s="24">
        <v>100</v>
      </c>
      <c r="AJ57" s="24">
        <v>100</v>
      </c>
      <c r="AK57" s="24">
        <v>100</v>
      </c>
      <c r="AL57" s="24">
        <v>100</v>
      </c>
    </row>
    <row r="58" spans="1:38" ht="15.75" thickTop="1" x14ac:dyDescent="0.25">
      <c r="C58" s="26"/>
      <c r="D58" s="26"/>
      <c r="E58" s="26"/>
      <c r="F58" s="26"/>
      <c r="G58" s="26"/>
      <c r="H58" s="26"/>
      <c r="I58" s="27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38" ht="12.75" customHeight="1" x14ac:dyDescent="0.25">
      <c r="A59" s="37" t="s">
        <v>60</v>
      </c>
      <c r="B59" s="37"/>
      <c r="C59" s="37"/>
      <c r="D59" s="37"/>
      <c r="E59" s="37"/>
      <c r="F59" s="37"/>
      <c r="G59" s="37"/>
      <c r="H59" s="28"/>
      <c r="I59" s="28"/>
      <c r="J59" s="28"/>
      <c r="K59" s="28"/>
      <c r="L59" s="28"/>
      <c r="M59" s="28"/>
      <c r="N59" s="37" t="s">
        <v>60</v>
      </c>
      <c r="O59" s="37"/>
      <c r="P59" s="37"/>
      <c r="Q59" s="37"/>
      <c r="R59" s="37"/>
      <c r="S59" s="37"/>
      <c r="T59" s="37"/>
      <c r="U59" s="28"/>
      <c r="V59" s="28"/>
      <c r="W59" s="28"/>
      <c r="X59" s="28"/>
      <c r="Y59" s="28"/>
      <c r="Z59" s="28"/>
      <c r="AA59" s="37" t="s">
        <v>60</v>
      </c>
      <c r="AB59" s="37"/>
      <c r="AC59" s="37"/>
      <c r="AD59" s="37"/>
      <c r="AE59" s="37"/>
      <c r="AF59" s="37"/>
      <c r="AG59" s="37"/>
    </row>
    <row r="60" spans="1:38" ht="18" customHeight="1" x14ac:dyDescent="0.25">
      <c r="A60" s="29" t="s">
        <v>61</v>
      </c>
      <c r="B60" s="30"/>
      <c r="C60" s="30"/>
      <c r="D60" s="30"/>
      <c r="E60" s="29"/>
      <c r="F60" s="29"/>
      <c r="G60" s="29"/>
      <c r="H60" s="29"/>
      <c r="I60" s="29"/>
      <c r="J60" s="29"/>
      <c r="K60" s="29"/>
      <c r="L60" s="29"/>
      <c r="M60" s="29"/>
      <c r="N60" s="29" t="str">
        <f>A60</f>
        <v xml:space="preserve">For details about the methodology for estimating TTR, please visit http://www.treasury.gov/resource-center/economic-policy/taxable-resources/Pages/Total-Taxable-Resources.aspx. </v>
      </c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29" t="str">
        <f>A60</f>
        <v xml:space="preserve">For details about the methodology for estimating TTR, please visit http://www.treasury.gov/resource-center/economic-policy/taxable-resources/Pages/Total-Taxable-Resources.aspx. </v>
      </c>
      <c r="AB60" s="30"/>
      <c r="AC60" s="30"/>
      <c r="AD60" s="30"/>
    </row>
    <row r="61" spans="1:38" ht="18" customHeight="1" x14ac:dyDescent="0.25">
      <c r="A61" s="29" t="s">
        <v>62</v>
      </c>
      <c r="B61" s="30"/>
      <c r="C61" s="30"/>
      <c r="D61" s="30"/>
      <c r="E61" s="29"/>
      <c r="F61" s="29"/>
      <c r="G61" s="29"/>
      <c r="H61" s="29"/>
      <c r="I61" s="29"/>
      <c r="J61" s="29"/>
      <c r="K61" s="29"/>
      <c r="L61" s="29"/>
      <c r="M61" s="29"/>
      <c r="N61" s="29" t="str">
        <f>A61</f>
        <v>Note that "United States" now exclusively refers to the 50 states + DC.</v>
      </c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29" t="str">
        <f>A61</f>
        <v>Note that "United States" now exclusively refers to the 50 states + DC.</v>
      </c>
      <c r="AB61" s="30"/>
      <c r="AC61" s="30"/>
      <c r="AD61" s="30"/>
    </row>
    <row r="62" spans="1:38" ht="18" customHeight="1" x14ac:dyDescent="0.25">
      <c r="A62" s="29" t="s">
        <v>63</v>
      </c>
      <c r="B62" s="30"/>
      <c r="C62" s="30"/>
      <c r="D62" s="30"/>
      <c r="E62" s="29"/>
      <c r="F62" s="29"/>
      <c r="G62" s="29"/>
      <c r="H62" s="29"/>
      <c r="I62" s="29"/>
      <c r="J62" s="29"/>
      <c r="K62" s="29"/>
      <c r="L62" s="29"/>
      <c r="M62" s="29"/>
      <c r="N62" s="29" t="s">
        <v>63</v>
      </c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29" t="s">
        <v>63</v>
      </c>
      <c r="AB62" s="30"/>
      <c r="AC62" s="30"/>
      <c r="AD62" s="30"/>
    </row>
    <row r="63" spans="1:38" ht="18" customHeight="1" x14ac:dyDescent="0.25">
      <c r="A63" s="31"/>
      <c r="B63" s="32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31" t="s">
        <v>58</v>
      </c>
      <c r="O63" s="29"/>
      <c r="P63" s="29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1" t="s">
        <v>58</v>
      </c>
      <c r="AB63" s="30"/>
      <c r="AC63" s="30"/>
    </row>
    <row r="64" spans="1:38" ht="24.2" customHeight="1" x14ac:dyDescent="0.25">
      <c r="A64" s="35" t="s">
        <v>64</v>
      </c>
      <c r="B64" s="35"/>
      <c r="C64" s="35"/>
      <c r="D64" s="35"/>
      <c r="E64" s="35"/>
      <c r="F64" s="35"/>
      <c r="G64" s="33" t="s">
        <v>65</v>
      </c>
      <c r="N64" s="35" t="s">
        <v>64</v>
      </c>
      <c r="O64" s="35"/>
      <c r="P64" s="35"/>
      <c r="Q64" s="35"/>
      <c r="R64" s="35"/>
      <c r="S64" s="35"/>
      <c r="T64" s="33" t="str">
        <f>G64</f>
        <v>September 2017</v>
      </c>
      <c r="AA64" s="35" t="s">
        <v>64</v>
      </c>
      <c r="AB64" s="35"/>
      <c r="AC64" s="35"/>
      <c r="AD64" s="35"/>
      <c r="AE64" s="35"/>
      <c r="AF64" s="35"/>
      <c r="AG64" s="33" t="str">
        <f>G64</f>
        <v>September 2017</v>
      </c>
    </row>
    <row r="68" spans="2:12" x14ac:dyDescent="0.25"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</sheetData>
  <mergeCells count="6">
    <mergeCell ref="A1:G1"/>
    <mergeCell ref="N1:T1"/>
    <mergeCell ref="AA1:AG1"/>
    <mergeCell ref="A59:G59"/>
    <mergeCell ref="N59:T59"/>
    <mergeCell ref="AA59:AG5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0E536D9C79334D81A222A208E93EF4" ma:contentTypeVersion="12" ma:contentTypeDescription="Create a new document." ma:contentTypeScope="" ma:versionID="3e70c447e8430b0f0c44b865ea1332c7">
  <xsd:schema xmlns:xsd="http://www.w3.org/2001/XMLSchema" xmlns:xs="http://www.w3.org/2001/XMLSchema" xmlns:p="http://schemas.microsoft.com/office/2006/metadata/properties" xmlns:ns1="http://schemas.microsoft.com/sharepoint/v3" xmlns:ns2="8a41d4cc-3855-40f2-8932-454702d2b8da" xmlns:ns3="76e793e8-4a64-4d04-b03f-93031a23c8b3" targetNamespace="http://schemas.microsoft.com/office/2006/metadata/properties" ma:root="true" ma:fieldsID="5c9965030a563ea24e617149b4b300ab" ns1:_="" ns2:_="" ns3:_="">
    <xsd:import namespace="http://schemas.microsoft.com/sharepoint/v3"/>
    <xsd:import namespace="8a41d4cc-3855-40f2-8932-454702d2b8da"/>
    <xsd:import namespace="76e793e8-4a64-4d04-b03f-93031a23c8b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opic_x0020_TagTaxHTField0" minOccurs="0"/>
                <xsd:element ref="ns2:TaxCatchAll" minOccurs="0"/>
                <xsd:element ref="ns2:TaxCatchAllLabel" minOccurs="0"/>
                <xsd:element ref="ns2:Office_TagTaxHTField0" minOccurs="0"/>
                <xsd:element ref="ns2:Geography_x0020_TagTaxHTField0" minOccurs="0"/>
                <xsd:element ref="ns2:Person_x0020_TagTaxHTField0" minOccurs="0"/>
                <xsd:element ref="ns3:MigrationSourceURL" minOccurs="0"/>
                <xsd:element ref="ns1:ArticleStartDate" minOccurs="0"/>
                <xsd:element ref="ns2:AsOfDate" minOccurs="0"/>
                <xsd:element ref="ns2:ShowArticleDateInTitle" minOccurs="0"/>
                <xsd:element ref="ns2:TitleAlternate" minOccurs="0"/>
                <xsd:element ref="ns2:DisplayAsOfDate" minOccurs="0"/>
                <xsd:element ref="ns2:Resource_x0020_Type_x0020_Tag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  <xsd:element name="ArticleStartDate" ma:index="21" nillable="true" ma:displayName="Article Date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d4cc-3855-40f2-8932-454702d2b8da" elementFormDefault="qualified">
    <xsd:import namespace="http://schemas.microsoft.com/office/2006/documentManagement/types"/>
    <xsd:import namespace="http://schemas.microsoft.com/office/infopath/2007/PartnerControls"/>
    <xsd:element name="Topic_x0020_TagTaxHTField0" ma:index="10" nillable="true" ma:taxonomy="true" ma:internalName="Topic_x0020_TagTaxHTField0" ma:taxonomyFieldName="Topic_x0020_Tag" ma:displayName="Topic Tag" ma:default="" ma:fieldId="{499a121d-66a6-42a2-88a2-426de769de9f}" ma:taxonomyMulti="true" ma:sspId="3b6f65c7-9254-47cf-a11b-b487bf06aacb" ma:termSetId="325701cb-c33c-4e87-a755-1418200e675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1a3dcbf6-8af5-4da4-a131-3d9948cc19c5}" ma:internalName="TaxCatchAll" ma:showField="CatchAllData" ma:web="e822421c-4f7f-43b6-b1de-8323dfb8e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1a3dcbf6-8af5-4da4-a131-3d9948cc19c5}" ma:internalName="TaxCatchAllLabel" ma:readOnly="true" ma:showField="CatchAllDataLabel" ma:web="e822421c-4f7f-43b6-b1de-8323dfb8e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ffice_TagTaxHTField0" ma:index="14" nillable="true" ma:taxonomy="true" ma:internalName="Office_TagTaxHTField0" ma:taxonomyFieldName="Office_Tag" ma:displayName="Office Tag" ma:default="" ma:fieldId="{551c2805-25f1-4a7f-9cdd-3e9d9831a3d7}" ma:taxonomyMulti="true" ma:sspId="3b6f65c7-9254-47cf-a11b-b487bf06aacb" ma:termSetId="6aee186f-2112-4c7c-ae1b-5d1be70ba56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ography_x0020_TagTaxHTField0" ma:index="16" nillable="true" ma:taxonomy="true" ma:internalName="Geography_x0020_TagTaxHTField0" ma:taxonomyFieldName="Geography_x0020_Tag" ma:displayName="Geography Tag" ma:default="" ma:fieldId="{d5cbcc3c-b655-484b-8f42-55c2464ff64b}" ma:taxonomyMulti="true" ma:sspId="3b6f65c7-9254-47cf-a11b-b487bf06aacb" ma:termSetId="83bcd180-c452-47f9-b00f-b005c41ed84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erson_x0020_TagTaxHTField0" ma:index="18" nillable="true" ma:taxonomy="true" ma:internalName="Person_x0020_TagTaxHTField0" ma:taxonomyFieldName="Person_x0020_Tag" ma:displayName="Person Tag" ma:default="" ma:fieldId="{b4ce1c31-4abb-43c9-96e0-39bec811dc17}" ma:taxonomyMulti="true" ma:sspId="3b6f65c7-9254-47cf-a11b-b487bf06aacb" ma:termSetId="cdff39ed-b744-472c-9350-89e049e4ce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sOfDate" ma:index="22" nillable="true" ma:displayName="AsOfDate" ma:format="DateOnly" ma:internalName="AsOfDate">
      <xsd:simpleType>
        <xsd:restriction base="dms:DateTime"/>
      </xsd:simpleType>
    </xsd:element>
    <xsd:element name="ShowArticleDateInTitle" ma:index="23" nillable="true" ma:displayName="ShowArticleDateInTitle" ma:default="0" ma:description="Indicate a preference to show the article date in the article title, where available." ma:internalName="ShowArticleDateInTitle">
      <xsd:simpleType>
        <xsd:restriction base="dms:Boolean"/>
      </xsd:simpleType>
    </xsd:element>
    <xsd:element name="TitleAlternate" ma:index="26" nillable="true" ma:displayName="TitleAlternate" ma:internalName="TitleAlternate">
      <xsd:simpleType>
        <xsd:restriction base="dms:Text">
          <xsd:maxLength value="255"/>
        </xsd:restriction>
      </xsd:simpleType>
    </xsd:element>
    <xsd:element name="DisplayAsOfDate" ma:index="27" nillable="true" ma:displayName="DisplayAsOfDate" ma:default="No" ma:format="RadioButtons" ma:internalName="DisplayAsOfDate">
      <xsd:simpleType>
        <xsd:restriction base="dms:Choice">
          <xsd:enumeration value="Yes"/>
          <xsd:enumeration value="No"/>
        </xsd:restriction>
      </xsd:simpleType>
    </xsd:element>
    <xsd:element name="Resource_x0020_Type_x0020_TagTaxHTField0" ma:index="28" nillable="true" ma:taxonomy="true" ma:internalName="Resource_x0020_Type_x0020_TagTaxHTField0" ma:taxonomyFieldName="Resource_x0020_Type_x0020_Tag" ma:displayName="Resource Type Tag" ma:default="" ma:fieldId="{5c7f90f2-daeb-4ea8-be7d-20853e227613}" ma:sspId="3b6f65c7-9254-47cf-a11b-b487bf06aacb" ma:termSetId="ccadf463-ebb3-4307-bd4a-cd78ea9c76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e793e8-4a64-4d04-b03f-93031a23c8b3" elementFormDefault="qualified">
    <xsd:import namespace="http://schemas.microsoft.com/office/2006/documentManagement/types"/>
    <xsd:import namespace="http://schemas.microsoft.com/office/infopath/2007/PartnerControls"/>
    <xsd:element name="MigrationSourceURL" ma:index="20" nillable="true" ma:displayName="MigrationSourceURL" ma:internalName="MigrationSourceURL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ource_x0020_Type_x0020_TagTaxHTField0 xmlns="8a41d4cc-3855-40f2-8932-454702d2b8da">
      <Terms xmlns="http://schemas.microsoft.com/office/infopath/2007/PartnerControls"/>
    </Resource_x0020_Type_x0020_TagTaxHTField0>
    <Person_x0020_TagTaxHTField0 xmlns="8a41d4cc-3855-40f2-8932-454702d2b8da">
      <Terms xmlns="http://schemas.microsoft.com/office/infopath/2007/PartnerControls"/>
    </Person_x0020_TagTaxHTField0>
    <DisplayAsOfDate xmlns="8a41d4cc-3855-40f2-8932-454702d2b8da">No</DisplayAsOfDate>
    <Topic_x0020_TagTaxHTField0 xmlns="8a41d4cc-3855-40f2-8932-454702d2b8da">
      <Terms xmlns="http://schemas.microsoft.com/office/infopath/2007/PartnerControls">
        <TermInfo xmlns="http://schemas.microsoft.com/office/infopath/2007/PartnerControls">
          <TermName xmlns="http://schemas.microsoft.com/office/infopath/2007/PartnerControls">Total Taxable Resources</TermName>
          <TermId xmlns="http://schemas.microsoft.com/office/infopath/2007/PartnerControls">5791b286-101d-46a1-8459-4fba2f477ddd</TermId>
        </TermInfo>
      </Terms>
    </Topic_x0020_TagTaxHTField0>
    <Geography_x0020_TagTaxHTField0 xmlns="8a41d4cc-3855-40f2-8932-454702d2b8da">
      <Terms xmlns="http://schemas.microsoft.com/office/infopath/2007/PartnerControls"/>
    </Geography_x0020_TagTaxHTField0>
    <Office_TagTaxHTField0 xmlns="8a41d4cc-3855-40f2-8932-454702d2b8da">
      <Terms xmlns="http://schemas.microsoft.com/office/infopath/2007/PartnerControls"/>
    </Office_TagTaxHTField0>
    <ArticleStartDate xmlns="http://schemas.microsoft.com/sharepoint/v3">2017-09-29T04:00:00+00:00</ArticleStartDate>
    <PublishingExpirationDate xmlns="http://schemas.microsoft.com/sharepoint/v3" xsi:nil="true"/>
    <TitleAlternate xmlns="8a41d4cc-3855-40f2-8932-454702d2b8da" xsi:nil="true"/>
    <MigrationSourceURL xmlns="76e793e8-4a64-4d04-b03f-93031a23c8b3" xsi:nil="true"/>
    <PublishingStartDate xmlns="http://schemas.microsoft.com/sharepoint/v3" xsi:nil="true"/>
    <ShowArticleDateInTitle xmlns="8a41d4cc-3855-40f2-8932-454702d2b8da">false</ShowArticleDateInTitle>
    <TaxCatchAll xmlns="8a41d4cc-3855-40f2-8932-454702d2b8da">
      <Value>546</Value>
    </TaxCatchAll>
    <AsOfDate xmlns="8a41d4cc-3855-40f2-8932-454702d2b8da" xsi:nil="true"/>
  </documentManagement>
</p:properties>
</file>

<file path=customXml/itemProps1.xml><?xml version="1.0" encoding="utf-8"?>
<ds:datastoreItem xmlns:ds="http://schemas.openxmlformats.org/officeDocument/2006/customXml" ds:itemID="{93FCB35F-D063-4A13-B621-B0A852DE9BA3}"/>
</file>

<file path=customXml/itemProps2.xml><?xml version="1.0" encoding="utf-8"?>
<ds:datastoreItem xmlns:ds="http://schemas.openxmlformats.org/officeDocument/2006/customXml" ds:itemID="{3F5BAFD8-AF5D-4291-99D0-426F69EFD926}"/>
</file>

<file path=customXml/itemProps3.xml><?xml version="1.0" encoding="utf-8"?>
<ds:datastoreItem xmlns:ds="http://schemas.openxmlformats.org/officeDocument/2006/customXml" ds:itemID="{FF1E838C-005F-4BF7-AE79-DB0F7E02D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2017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Total Taxable Resources Estimates-09/29/2017</dc:title>
  <dc:creator/>
  <cp:lastModifiedBy/>
  <dcterms:created xsi:type="dcterms:W3CDTF">2017-09-27T15:46:44Z</dcterms:created>
  <dcterms:modified xsi:type="dcterms:W3CDTF">2017-09-27T15:46:52Z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0x0101005D0E536D9C79334D81A222A208E93EF4</vt:lpwstr>
  </property>
  <property fmtid="{D5CDD505-2E9C-101B-9397-08002B2CF9AE}" pid="3" name="Person Tag">
    <vt:lpwstr/>
  </property>
  <property fmtid="{D5CDD505-2E9C-101B-9397-08002B2CF9AE}" pid="4" name="Topic Tag">
    <vt:lpwstr>546;#Total Taxable Resources|5791b286-101d-46a1-8459-4fba2f477ddd</vt:lpwstr>
  </property>
  <property fmtid="{D5CDD505-2E9C-101B-9397-08002B2CF9AE}" pid="5" name="Resource Type Tag">
    <vt:lpwstr/>
  </property>
  <property fmtid="{D5CDD505-2E9C-101B-9397-08002B2CF9AE}" pid="6" name="Office_Tag">
    <vt:lpwstr/>
  </property>
  <property fmtid="{D5CDD505-2E9C-101B-9397-08002B2CF9AE}" pid="7" name="Geography Tag">
    <vt:lpwstr/>
  </property>
  <property fmtid="{D5CDD505-2E9C-101B-9397-08002B2CF9AE}" pid="8" name="Order">
    <vt:r8>5000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TemplateUrl">
    <vt:lpwstr/>
  </property>
</Properties>
</file>